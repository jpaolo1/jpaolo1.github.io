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eyp\Downloads\"/>
    </mc:Choice>
  </mc:AlternateContent>
  <xr:revisionPtr revIDLastSave="0" documentId="8_{8E477C01-3905-40CC-801D-26F788B03317}" xr6:coauthVersionLast="47" xr6:coauthVersionMax="47" xr10:uidLastSave="{00000000-0000-0000-0000-000000000000}"/>
  <bookViews>
    <workbookView xWindow="-110" yWindow="-110" windowWidth="19420" windowHeight="11500" xr2:uid="{00000000-000D-0000-FFFF-FFFF00000000}"/>
  </bookViews>
  <sheets>
    <sheet name="Waterfall" sheetId="6" r:id="rId1"/>
  </sheets>
  <definedNames>
    <definedName name="AmortOutput">#REF!</definedName>
    <definedName name="Coupon">Waterfall!$B$4</definedName>
    <definedName name="CouponMax">#REF!</definedName>
    <definedName name="CouponMin">#REF!</definedName>
    <definedName name="EligibleBalloon">#REF!</definedName>
    <definedName name="EligibleCoupon">#REF!</definedName>
    <definedName name="EligibleCurrBalance">#REF!</definedName>
    <definedName name="EligiblePmt">#REF!</definedName>
    <definedName name="EligibleRemTerm">#REF!</definedName>
    <definedName name="IncludeState">#REF!</definedName>
    <definedName name="LoanAmountFinanced">#REF!</definedName>
    <definedName name="LoanCoupon">#REF!</definedName>
    <definedName name="LoanNewUsed">#REF!</definedName>
    <definedName name="LoanState">#REF!</definedName>
    <definedName name="NumLoans">#REF!</definedName>
    <definedName name="Output">#REF!</definedName>
    <definedName name="ServicingFee">Waterfall!$B$5</definedName>
    <definedName name="State">#REF!</definedName>
    <definedName name="SumPrincipal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Q13" i="6" l="1"/>
  <c r="AT14" i="6"/>
  <c r="O6" i="6"/>
  <c r="F9" i="6"/>
  <c r="AK9" i="6"/>
  <c r="AJ9" i="6"/>
  <c r="AC9" i="6"/>
  <c r="G9" i="6"/>
  <c r="L13" i="6" l="1"/>
  <c r="K13" i="6"/>
  <c r="Y13" i="6" l="1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13" i="6"/>
  <c r="J13" i="6" s="1"/>
  <c r="I14" i="6"/>
  <c r="J14" i="6" l="1"/>
  <c r="K14" i="6"/>
  <c r="L14" i="6"/>
  <c r="Y14" i="6"/>
  <c r="J15" i="6" l="1"/>
  <c r="L15" i="6"/>
  <c r="K15" i="6"/>
  <c r="Y15" i="6" s="1"/>
  <c r="J16" i="6" l="1"/>
  <c r="L16" i="6"/>
  <c r="K16" i="6"/>
  <c r="Y16" i="6" s="1"/>
  <c r="J17" i="6" l="1"/>
  <c r="L17" i="6"/>
  <c r="K17" i="6"/>
  <c r="Y17" i="6"/>
  <c r="J18" i="6" l="1"/>
  <c r="K18" i="6"/>
  <c r="Y18" i="6" s="1"/>
  <c r="L18" i="6"/>
  <c r="J19" i="6" l="1"/>
  <c r="K19" i="6"/>
  <c r="L19" i="6"/>
  <c r="Y19" i="6"/>
  <c r="J20" i="6" l="1"/>
  <c r="K20" i="6"/>
  <c r="Y20" i="6" s="1"/>
  <c r="L20" i="6"/>
  <c r="J21" i="6" l="1"/>
  <c r="K21" i="6"/>
  <c r="Y21" i="6" s="1"/>
  <c r="L21" i="6"/>
  <c r="J22" i="6" l="1"/>
  <c r="K22" i="6"/>
  <c r="Y22" i="6" s="1"/>
  <c r="L22" i="6"/>
  <c r="J23" i="6" l="1"/>
  <c r="K23" i="6"/>
  <c r="L23" i="6"/>
  <c r="Y23" i="6"/>
  <c r="J24" i="6" l="1"/>
  <c r="K24" i="6"/>
  <c r="L24" i="6"/>
  <c r="Y24" i="6"/>
  <c r="J25" i="6" l="1"/>
  <c r="L25" i="6"/>
  <c r="K25" i="6"/>
  <c r="Y25" i="6" s="1"/>
  <c r="J26" i="6" l="1"/>
  <c r="K26" i="6"/>
  <c r="Y26" i="6" s="1"/>
  <c r="L26" i="6"/>
  <c r="J27" i="6" l="1"/>
  <c r="L27" i="6"/>
  <c r="K27" i="6"/>
  <c r="Y27" i="6" s="1"/>
  <c r="J28" i="6" l="1"/>
  <c r="L28" i="6"/>
  <c r="K28" i="6"/>
  <c r="Y28" i="6" s="1"/>
  <c r="J29" i="6" l="1"/>
  <c r="L29" i="6"/>
  <c r="K29" i="6"/>
  <c r="Y29" i="6" s="1"/>
  <c r="J30" i="6" l="1"/>
  <c r="K30" i="6"/>
  <c r="Y30" i="6" s="1"/>
  <c r="L30" i="6"/>
  <c r="J31" i="6" l="1"/>
  <c r="K31" i="6"/>
  <c r="Y31" i="6" s="1"/>
  <c r="L31" i="6"/>
  <c r="J32" i="6" l="1"/>
  <c r="K32" i="6"/>
  <c r="L32" i="6"/>
  <c r="Y32" i="6"/>
  <c r="J33" i="6" l="1"/>
  <c r="K33" i="6"/>
  <c r="Y33" i="6" s="1"/>
  <c r="L33" i="6"/>
  <c r="J34" i="6" l="1"/>
  <c r="K34" i="6"/>
  <c r="L34" i="6"/>
  <c r="Y34" i="6"/>
  <c r="J35" i="6" l="1"/>
  <c r="K35" i="6"/>
  <c r="L35" i="6"/>
  <c r="Y35" i="6"/>
  <c r="J36" i="6" l="1"/>
  <c r="K36" i="6"/>
  <c r="L36" i="6"/>
  <c r="Y36" i="6"/>
  <c r="J37" i="6" l="1"/>
  <c r="K37" i="6"/>
  <c r="Y37" i="6" s="1"/>
  <c r="L37" i="6"/>
  <c r="J38" i="6" l="1"/>
  <c r="K38" i="6"/>
  <c r="Y38" i="6" s="1"/>
  <c r="L38" i="6"/>
  <c r="J39" i="6" l="1"/>
  <c r="L39" i="6"/>
  <c r="K39" i="6"/>
  <c r="Y39" i="6"/>
  <c r="J40" i="6" l="1"/>
  <c r="L40" i="6"/>
  <c r="K40" i="6"/>
  <c r="Y40" i="6"/>
  <c r="J41" i="6" l="1"/>
  <c r="L41" i="6"/>
  <c r="K41" i="6"/>
  <c r="Y41" i="6" s="1"/>
  <c r="J42" i="6" l="1"/>
  <c r="K42" i="6"/>
  <c r="Y42" i="6" s="1"/>
  <c r="L42" i="6"/>
  <c r="J43" i="6" l="1"/>
  <c r="K43" i="6"/>
  <c r="L43" i="6"/>
  <c r="Y43" i="6"/>
  <c r="J44" i="6" l="1"/>
  <c r="K44" i="6"/>
  <c r="Y44" i="6" s="1"/>
  <c r="L44" i="6"/>
  <c r="J45" i="6" l="1"/>
  <c r="L45" i="6"/>
  <c r="K45" i="6"/>
  <c r="Y45" i="6" s="1"/>
  <c r="J46" i="6" l="1"/>
  <c r="K46" i="6"/>
  <c r="L46" i="6"/>
  <c r="Y46" i="6"/>
  <c r="J47" i="6" l="1"/>
  <c r="K47" i="6"/>
  <c r="L47" i="6"/>
  <c r="Y47" i="6"/>
  <c r="J48" i="6" l="1"/>
  <c r="K48" i="6"/>
  <c r="Y48" i="6" s="1"/>
  <c r="L48" i="6"/>
  <c r="J49" i="6" l="1"/>
  <c r="L49" i="6"/>
  <c r="K49" i="6"/>
  <c r="Y49" i="6" s="1"/>
  <c r="J50" i="6" l="1"/>
  <c r="L50" i="6"/>
  <c r="K50" i="6"/>
  <c r="Y50" i="6" s="1"/>
  <c r="J51" i="6" l="1"/>
  <c r="L51" i="6"/>
  <c r="K51" i="6"/>
  <c r="Y51" i="6"/>
  <c r="J52" i="6" l="1"/>
  <c r="L52" i="6"/>
  <c r="K52" i="6"/>
  <c r="Y52" i="6" s="1"/>
  <c r="J53" i="6" l="1"/>
  <c r="L53" i="6"/>
  <c r="K53" i="6"/>
  <c r="Y53" i="6" s="1"/>
  <c r="J54" i="6" l="1"/>
  <c r="K54" i="6"/>
  <c r="Y54" i="6" s="1"/>
  <c r="L54" i="6"/>
  <c r="J55" i="6" l="1"/>
  <c r="K55" i="6"/>
  <c r="L55" i="6"/>
  <c r="Y55" i="6"/>
  <c r="J56" i="6" l="1"/>
  <c r="K56" i="6"/>
  <c r="L56" i="6"/>
  <c r="Y56" i="6"/>
  <c r="J57" i="6" l="1"/>
  <c r="L57" i="6"/>
  <c r="K57" i="6"/>
  <c r="Y57" i="6" s="1"/>
  <c r="J58" i="6" l="1"/>
  <c r="K58" i="6"/>
  <c r="Y58" i="6" s="1"/>
  <c r="L58" i="6"/>
  <c r="J59" i="6" l="1"/>
  <c r="K59" i="6"/>
  <c r="Y59" i="6" s="1"/>
  <c r="L59" i="6"/>
  <c r="J60" i="6" l="1"/>
  <c r="K60" i="6"/>
  <c r="Y60" i="6" s="1"/>
  <c r="L60" i="6"/>
  <c r="J61" i="6" l="1"/>
  <c r="L61" i="6"/>
  <c r="K61" i="6"/>
  <c r="Y61" i="6"/>
  <c r="J62" i="6" l="1"/>
  <c r="L62" i="6"/>
  <c r="K62" i="6"/>
  <c r="Y62" i="6"/>
  <c r="J63" i="6" l="1"/>
  <c r="L63" i="6"/>
  <c r="K63" i="6"/>
  <c r="Y63" i="6" s="1"/>
  <c r="J64" i="6" l="1"/>
  <c r="L64" i="6"/>
  <c r="K64" i="6"/>
  <c r="Y64" i="6" s="1"/>
  <c r="J65" i="6" l="1"/>
  <c r="L65" i="6"/>
  <c r="K65" i="6"/>
  <c r="Y65" i="6"/>
  <c r="J66" i="6" l="1"/>
  <c r="K66" i="6"/>
  <c r="Y66" i="6" s="1"/>
  <c r="L66" i="6"/>
  <c r="J67" i="6" l="1"/>
  <c r="K67" i="6"/>
  <c r="Y67" i="6" s="1"/>
  <c r="L67" i="6"/>
  <c r="J68" i="6" l="1"/>
  <c r="K68" i="6"/>
  <c r="L68" i="6"/>
  <c r="Y68" i="6"/>
  <c r="J69" i="6" l="1"/>
  <c r="K69" i="6"/>
  <c r="L69" i="6"/>
  <c r="Y69" i="6"/>
  <c r="J70" i="6" l="1"/>
  <c r="L70" i="6"/>
  <c r="K70" i="6"/>
  <c r="Y70" i="6"/>
  <c r="J71" i="6" l="1"/>
  <c r="K71" i="6"/>
  <c r="L71" i="6"/>
  <c r="Y71" i="6"/>
  <c r="J72" i="6" l="1"/>
  <c r="K72" i="6"/>
  <c r="Y72" i="6" s="1"/>
  <c r="L72" i="6"/>
  <c r="J73" i="6" l="1"/>
  <c r="K73" i="6"/>
  <c r="L73" i="6"/>
  <c r="Y73" i="6"/>
  <c r="J74" i="6" l="1"/>
  <c r="K74" i="6"/>
  <c r="Y74" i="6" s="1"/>
  <c r="L74" i="6"/>
  <c r="J75" i="6" l="1"/>
  <c r="L75" i="6"/>
  <c r="K75" i="6"/>
  <c r="Y75" i="6"/>
  <c r="J76" i="6" l="1"/>
  <c r="L76" i="6"/>
  <c r="K76" i="6"/>
  <c r="Y76" i="6" s="1"/>
  <c r="J77" i="6" l="1"/>
  <c r="L77" i="6"/>
  <c r="K77" i="6"/>
  <c r="Y77" i="6"/>
  <c r="J78" i="6" l="1"/>
  <c r="K78" i="6"/>
  <c r="Y78" i="6" s="1"/>
  <c r="L78" i="6"/>
  <c r="J79" i="6" l="1"/>
  <c r="K79" i="6"/>
  <c r="Y79" i="6" s="1"/>
  <c r="L79" i="6"/>
  <c r="J80" i="6" l="1"/>
  <c r="K80" i="6"/>
  <c r="L80" i="6"/>
  <c r="Y80" i="6"/>
  <c r="J81" i="6" l="1"/>
  <c r="K81" i="6"/>
  <c r="Y81" i="6" s="1"/>
  <c r="L81" i="6"/>
  <c r="J82" i="6" l="1"/>
  <c r="K82" i="6"/>
  <c r="L82" i="6"/>
  <c r="Y82" i="6" l="1"/>
  <c r="K9" i="6"/>
  <c r="AP13" i="6"/>
  <c r="O13" i="6"/>
  <c r="P13" i="6" l="1"/>
  <c r="Q13" i="6" s="1"/>
  <c r="S13" i="6" s="1"/>
  <c r="U13" i="6" s="1"/>
  <c r="V13" i="6" s="1"/>
  <c r="X13" i="6" s="1"/>
  <c r="T13" i="6"/>
  <c r="R13" i="6" l="1"/>
  <c r="R9" i="6" s="1"/>
  <c r="W13" i="6"/>
  <c r="AR13" i="6" l="1"/>
  <c r="AT13" i="6" s="1"/>
  <c r="AS13" i="6" l="1"/>
  <c r="B8" i="6" l="1"/>
  <c r="Z13" i="6" l="1"/>
  <c r="AA13" i="6" s="1"/>
  <c r="Y9" i="6"/>
  <c r="R4" i="6" s="1"/>
  <c r="AB13" i="6" l="1"/>
  <c r="O14" i="6" s="1"/>
  <c r="P14" i="6" s="1"/>
  <c r="Q14" i="6" s="1"/>
  <c r="S14" i="6" s="1"/>
  <c r="T14" i="6" l="1"/>
  <c r="Z14" i="6"/>
  <c r="AA14" i="6" l="1"/>
  <c r="U14" i="6" l="1"/>
  <c r="AB14" i="6"/>
  <c r="O15" i="6" s="1"/>
  <c r="P15" i="6" s="1"/>
  <c r="Q15" i="6" s="1"/>
  <c r="S15" i="6" s="1"/>
  <c r="Z15" i="6" l="1"/>
  <c r="T15" i="6"/>
  <c r="V14" i="6"/>
  <c r="W14" i="6" l="1"/>
  <c r="X14" i="6"/>
  <c r="AA15" i="6"/>
  <c r="AB15" i="6" l="1"/>
  <c r="O16" i="6" s="1"/>
  <c r="P16" i="6" s="1"/>
  <c r="Q16" i="6" s="1"/>
  <c r="S16" i="6" s="1"/>
  <c r="U15" i="6"/>
  <c r="AQ14" i="6"/>
  <c r="AR14" i="6" l="1"/>
  <c r="V15" i="6"/>
  <c r="X15" i="6" s="1"/>
  <c r="T16" i="6"/>
  <c r="Z16" i="6"/>
  <c r="AQ15" i="6" l="1"/>
  <c r="AA16" i="6"/>
  <c r="AS14" i="6"/>
  <c r="W15" i="6"/>
  <c r="AR15" i="6" l="1"/>
  <c r="AT15" i="6" s="1"/>
  <c r="AB16" i="6"/>
  <c r="O17" i="6" s="1"/>
  <c r="P17" i="6" s="1"/>
  <c r="Q17" i="6" s="1"/>
  <c r="S17" i="6" s="1"/>
  <c r="U16" i="6"/>
  <c r="V16" i="6" l="1"/>
  <c r="X16" i="6" s="1"/>
  <c r="T17" i="6"/>
  <c r="Z17" i="6"/>
  <c r="AA17" i="6" s="1"/>
  <c r="AB17" i="6" s="1"/>
  <c r="O18" i="6" s="1"/>
  <c r="P18" i="6" s="1"/>
  <c r="Q18" i="6" s="1"/>
  <c r="S18" i="6" s="1"/>
  <c r="AS15" i="6"/>
  <c r="T18" i="6" l="1"/>
  <c r="Z18" i="6"/>
  <c r="AA18" i="6" s="1"/>
  <c r="AB18" i="6" s="1"/>
  <c r="O19" i="6" s="1"/>
  <c r="P19" i="6" s="1"/>
  <c r="Q19" i="6" s="1"/>
  <c r="S19" i="6" s="1"/>
  <c r="AQ16" i="6"/>
  <c r="AR16" i="6" s="1"/>
  <c r="W16" i="6"/>
  <c r="Z19" i="6" l="1"/>
  <c r="AA19" i="6" s="1"/>
  <c r="AB19" i="6" s="1"/>
  <c r="O20" i="6" s="1"/>
  <c r="P20" i="6" s="1"/>
  <c r="Q20" i="6" s="1"/>
  <c r="S20" i="6" s="1"/>
  <c r="T19" i="6"/>
  <c r="U17" i="6"/>
  <c r="AT16" i="6"/>
  <c r="U18" i="6"/>
  <c r="V18" i="6" s="1"/>
  <c r="W18" i="6" s="1"/>
  <c r="AS16" i="6"/>
  <c r="T20" i="6" l="1"/>
  <c r="Z20" i="6"/>
  <c r="AA20" i="6" s="1"/>
  <c r="AB20" i="6" s="1"/>
  <c r="O21" i="6" s="1"/>
  <c r="P21" i="6" s="1"/>
  <c r="Q21" i="6" s="1"/>
  <c r="S21" i="6" s="1"/>
  <c r="V17" i="6"/>
  <c r="X17" i="6" s="1"/>
  <c r="X18" i="6"/>
  <c r="AQ18" i="6" s="1"/>
  <c r="T21" i="6" l="1"/>
  <c r="Z21" i="6"/>
  <c r="AA21" i="6" s="1"/>
  <c r="AB21" i="6" s="1"/>
  <c r="O22" i="6" s="1"/>
  <c r="P22" i="6" s="1"/>
  <c r="Q22" i="6" s="1"/>
  <c r="S22" i="6" s="1"/>
  <c r="U19" i="6"/>
  <c r="AQ17" i="6"/>
  <c r="W17" i="6"/>
  <c r="U20" i="6"/>
  <c r="V20" i="6" s="1"/>
  <c r="W20" i="6" s="1"/>
  <c r="T22" i="6" l="1"/>
  <c r="Z22" i="6"/>
  <c r="AA22" i="6" s="1"/>
  <c r="AB22" i="6" s="1"/>
  <c r="O23" i="6" s="1"/>
  <c r="P23" i="6" s="1"/>
  <c r="Q23" i="6" s="1"/>
  <c r="S23" i="6" s="1"/>
  <c r="AR17" i="6"/>
  <c r="AS17" i="6" s="1"/>
  <c r="V19" i="6"/>
  <c r="X19" i="6" s="1"/>
  <c r="X20" i="6"/>
  <c r="AQ20" i="6" s="1"/>
  <c r="U21" i="6"/>
  <c r="T23" i="6" l="1"/>
  <c r="Z23" i="6"/>
  <c r="AA23" i="6" s="1"/>
  <c r="AB23" i="6" s="1"/>
  <c r="O24" i="6" s="1"/>
  <c r="P24" i="6" s="1"/>
  <c r="Q24" i="6" s="1"/>
  <c r="S24" i="6" s="1"/>
  <c r="AR18" i="6"/>
  <c r="AT18" i="6" s="1"/>
  <c r="AT17" i="6"/>
  <c r="U22" i="6"/>
  <c r="AQ19" i="6"/>
  <c r="W19" i="6"/>
  <c r="V21" i="6"/>
  <c r="W21" i="6" s="1"/>
  <c r="X21" i="6" l="1"/>
  <c r="AQ21" i="6" s="1"/>
  <c r="T24" i="6"/>
  <c r="Z24" i="6"/>
  <c r="AA24" i="6" s="1"/>
  <c r="AB24" i="6" s="1"/>
  <c r="O25" i="6" s="1"/>
  <c r="P25" i="6" s="1"/>
  <c r="Q25" i="6" s="1"/>
  <c r="S25" i="6" s="1"/>
  <c r="AS18" i="6"/>
  <c r="U23" i="6"/>
  <c r="V22" i="6"/>
  <c r="W22" i="6" s="1"/>
  <c r="X22" i="6" l="1"/>
  <c r="AQ22" i="6" s="1"/>
  <c r="AR19" i="6"/>
  <c r="AT19" i="6" s="1"/>
  <c r="V23" i="6"/>
  <c r="W23" i="6" s="1"/>
  <c r="T25" i="6"/>
  <c r="Z25" i="6"/>
  <c r="AA25" i="6" s="1"/>
  <c r="AB25" i="6" s="1"/>
  <c r="O26" i="6" s="1"/>
  <c r="P26" i="6" s="1"/>
  <c r="Q26" i="6" s="1"/>
  <c r="S26" i="6" s="1"/>
  <c r="U24" i="6"/>
  <c r="V24" i="6" s="1"/>
  <c r="W24" i="6" s="1"/>
  <c r="T26" i="6" l="1"/>
  <c r="Z26" i="6"/>
  <c r="AA26" i="6" s="1"/>
  <c r="AB26" i="6" s="1"/>
  <c r="O27" i="6" s="1"/>
  <c r="P27" i="6" s="1"/>
  <c r="Q27" i="6" s="1"/>
  <c r="S27" i="6" s="1"/>
  <c r="U25" i="6"/>
  <c r="V25" i="6" s="1"/>
  <c r="W25" i="6" s="1"/>
  <c r="AS19" i="6"/>
  <c r="X23" i="6"/>
  <c r="AQ23" i="6" s="1"/>
  <c r="X24" i="6"/>
  <c r="AQ24" i="6" s="1"/>
  <c r="X25" i="6" l="1"/>
  <c r="AQ25" i="6" s="1"/>
  <c r="Z27" i="6"/>
  <c r="AA27" i="6" s="1"/>
  <c r="AB27" i="6" s="1"/>
  <c r="O28" i="6" s="1"/>
  <c r="P28" i="6" s="1"/>
  <c r="Q28" i="6" s="1"/>
  <c r="S28" i="6" s="1"/>
  <c r="T27" i="6"/>
  <c r="AR20" i="6"/>
  <c r="AT20" i="6" s="1"/>
  <c r="U26" i="6"/>
  <c r="T28" i="6" l="1"/>
  <c r="Z28" i="6"/>
  <c r="AA28" i="6" s="1"/>
  <c r="AB28" i="6" s="1"/>
  <c r="O29" i="6" s="1"/>
  <c r="P29" i="6" s="1"/>
  <c r="Q29" i="6" s="1"/>
  <c r="S29" i="6" s="1"/>
  <c r="U27" i="6"/>
  <c r="V27" i="6" s="1"/>
  <c r="W27" i="6" s="1"/>
  <c r="AS20" i="6"/>
  <c r="V26" i="6"/>
  <c r="W26" i="6" s="1"/>
  <c r="AR21" i="6" l="1"/>
  <c r="AT21" i="6" s="1"/>
  <c r="X27" i="6"/>
  <c r="AQ27" i="6" s="1"/>
  <c r="X26" i="6"/>
  <c r="AQ26" i="6" s="1"/>
  <c r="T29" i="6"/>
  <c r="Z29" i="6"/>
  <c r="AA29" i="6" s="1"/>
  <c r="AB29" i="6" s="1"/>
  <c r="O30" i="6" s="1"/>
  <c r="P30" i="6" s="1"/>
  <c r="Q30" i="6" s="1"/>
  <c r="S30" i="6" s="1"/>
  <c r="U28" i="6"/>
  <c r="V28" i="6" s="1"/>
  <c r="W28" i="6" s="1"/>
  <c r="AS21" i="6" l="1"/>
  <c r="AR22" i="6" s="1"/>
  <c r="AT22" i="6" s="1"/>
  <c r="Z30" i="6"/>
  <c r="AA30" i="6" s="1"/>
  <c r="AB30" i="6" s="1"/>
  <c r="O31" i="6" s="1"/>
  <c r="P31" i="6" s="1"/>
  <c r="Q31" i="6" s="1"/>
  <c r="S31" i="6" s="1"/>
  <c r="T30" i="6"/>
  <c r="X28" i="6"/>
  <c r="AQ28" i="6" s="1"/>
  <c r="U29" i="6"/>
  <c r="T31" i="6" l="1"/>
  <c r="Z31" i="6"/>
  <c r="AA31" i="6" s="1"/>
  <c r="AB31" i="6" s="1"/>
  <c r="O32" i="6" s="1"/>
  <c r="P32" i="6" s="1"/>
  <c r="Q32" i="6" s="1"/>
  <c r="S32" i="6" s="1"/>
  <c r="V29" i="6"/>
  <c r="W29" i="6" s="1"/>
  <c r="AS22" i="6"/>
  <c r="U30" i="6"/>
  <c r="T32" i="6" l="1"/>
  <c r="Z32" i="6"/>
  <c r="AA32" i="6" s="1"/>
  <c r="AB32" i="6" s="1"/>
  <c r="O33" i="6" s="1"/>
  <c r="P33" i="6" s="1"/>
  <c r="Q33" i="6" s="1"/>
  <c r="S33" i="6" s="1"/>
  <c r="AR23" i="6"/>
  <c r="AT23" i="6" s="1"/>
  <c r="V30" i="6"/>
  <c r="W30" i="6" s="1"/>
  <c r="X29" i="6"/>
  <c r="AQ29" i="6" s="1"/>
  <c r="U31" i="6"/>
  <c r="V31" i="6" s="1"/>
  <c r="W31" i="6" s="1"/>
  <c r="AS23" i="6" l="1"/>
  <c r="AR24" i="6" s="1"/>
  <c r="AT24" i="6" s="1"/>
  <c r="T33" i="6"/>
  <c r="Z33" i="6"/>
  <c r="AA33" i="6" s="1"/>
  <c r="AB33" i="6" s="1"/>
  <c r="O34" i="6" s="1"/>
  <c r="P34" i="6" s="1"/>
  <c r="Q34" i="6" s="1"/>
  <c r="S34" i="6" s="1"/>
  <c r="X30" i="6"/>
  <c r="AQ30" i="6" s="1"/>
  <c r="X31" i="6"/>
  <c r="AQ31" i="6" s="1"/>
  <c r="U32" i="6"/>
  <c r="V32" i="6" s="1"/>
  <c r="W32" i="6" s="1"/>
  <c r="T34" i="6" l="1"/>
  <c r="Z34" i="6"/>
  <c r="AA34" i="6" s="1"/>
  <c r="AB34" i="6" s="1"/>
  <c r="O35" i="6" s="1"/>
  <c r="P35" i="6" s="1"/>
  <c r="Q35" i="6" s="1"/>
  <c r="S35" i="6" s="1"/>
  <c r="AS24" i="6"/>
  <c r="U33" i="6"/>
  <c r="X32" i="6"/>
  <c r="AQ32" i="6" s="1"/>
  <c r="V33" i="6"/>
  <c r="W33" i="6" s="1"/>
  <c r="T35" i="6" l="1"/>
  <c r="Z35" i="6"/>
  <c r="AA35" i="6" s="1"/>
  <c r="AB35" i="6" s="1"/>
  <c r="O36" i="6" s="1"/>
  <c r="P36" i="6" s="1"/>
  <c r="Q36" i="6" s="1"/>
  <c r="S36" i="6" s="1"/>
  <c r="U34" i="6"/>
  <c r="V34" i="6" s="1"/>
  <c r="W34" i="6" s="1"/>
  <c r="X33" i="6"/>
  <c r="AQ33" i="6" s="1"/>
  <c r="AR25" i="6"/>
  <c r="AT25" i="6" s="1"/>
  <c r="AS25" i="6" l="1"/>
  <c r="U35" i="6"/>
  <c r="V35" i="6" s="1"/>
  <c r="W35" i="6" s="1"/>
  <c r="Z36" i="6"/>
  <c r="AA36" i="6" s="1"/>
  <c r="AB36" i="6" s="1"/>
  <c r="O37" i="6" s="1"/>
  <c r="P37" i="6" s="1"/>
  <c r="Q37" i="6" s="1"/>
  <c r="S37" i="6" s="1"/>
  <c r="T36" i="6"/>
  <c r="X34" i="6"/>
  <c r="AQ34" i="6" s="1"/>
  <c r="U36" i="6" l="1"/>
  <c r="T37" i="6"/>
  <c r="Z37" i="6"/>
  <c r="AA37" i="6" s="1"/>
  <c r="AB37" i="6" s="1"/>
  <c r="O38" i="6" s="1"/>
  <c r="P38" i="6" s="1"/>
  <c r="Q38" i="6" s="1"/>
  <c r="S38" i="6" s="1"/>
  <c r="X35" i="6"/>
  <c r="AQ35" i="6" s="1"/>
  <c r="AR26" i="6"/>
  <c r="AT26" i="6" s="1"/>
  <c r="T38" i="6" l="1"/>
  <c r="Z38" i="6"/>
  <c r="AA38" i="6" s="1"/>
  <c r="AB38" i="6" s="1"/>
  <c r="O39" i="6" s="1"/>
  <c r="P39" i="6" s="1"/>
  <c r="Q39" i="6" s="1"/>
  <c r="S39" i="6" s="1"/>
  <c r="AS26" i="6"/>
  <c r="U37" i="6"/>
  <c r="V37" i="6" s="1"/>
  <c r="W37" i="6" s="1"/>
  <c r="V36" i="6"/>
  <c r="W36" i="6" s="1"/>
  <c r="T39" i="6" l="1"/>
  <c r="Z39" i="6"/>
  <c r="AA39" i="6" s="1"/>
  <c r="AB39" i="6" s="1"/>
  <c r="O40" i="6" s="1"/>
  <c r="P40" i="6" s="1"/>
  <c r="Q40" i="6" s="1"/>
  <c r="S40" i="6" s="1"/>
  <c r="X37" i="6"/>
  <c r="AQ37" i="6" s="1"/>
  <c r="U38" i="6"/>
  <c r="V38" i="6" s="1"/>
  <c r="W38" i="6" s="1"/>
  <c r="X36" i="6"/>
  <c r="AQ36" i="6" s="1"/>
  <c r="AR27" i="6"/>
  <c r="AT27" i="6" s="1"/>
  <c r="T40" i="6" l="1"/>
  <c r="Z40" i="6"/>
  <c r="AA40" i="6" s="1"/>
  <c r="AB40" i="6" s="1"/>
  <c r="O41" i="6" s="1"/>
  <c r="P41" i="6" s="1"/>
  <c r="Q41" i="6" s="1"/>
  <c r="S41" i="6" s="1"/>
  <c r="X38" i="6"/>
  <c r="AQ38" i="6" s="1"/>
  <c r="U39" i="6"/>
  <c r="V39" i="6" s="1"/>
  <c r="W39" i="6" s="1"/>
  <c r="AS27" i="6"/>
  <c r="T41" i="6" l="1"/>
  <c r="Z41" i="6"/>
  <c r="AA41" i="6" s="1"/>
  <c r="AB41" i="6" s="1"/>
  <c r="O42" i="6" s="1"/>
  <c r="P42" i="6" s="1"/>
  <c r="Q42" i="6" s="1"/>
  <c r="S42" i="6" s="1"/>
  <c r="AR28" i="6"/>
  <c r="AT28" i="6" s="1"/>
  <c r="X39" i="6"/>
  <c r="AQ39" i="6" s="1"/>
  <c r="U40" i="6"/>
  <c r="V40" i="6" s="1"/>
  <c r="W40" i="6" s="1"/>
  <c r="X40" i="6" l="1"/>
  <c r="AQ40" i="6" s="1"/>
  <c r="AS28" i="6"/>
  <c r="U41" i="6"/>
  <c r="V41" i="6" s="1"/>
  <c r="W41" i="6" s="1"/>
  <c r="Z42" i="6"/>
  <c r="AA42" i="6" s="1"/>
  <c r="AB42" i="6" s="1"/>
  <c r="O43" i="6" s="1"/>
  <c r="P43" i="6" s="1"/>
  <c r="Q43" i="6" s="1"/>
  <c r="S43" i="6" s="1"/>
  <c r="T42" i="6"/>
  <c r="T43" i="6" l="1"/>
  <c r="Z43" i="6"/>
  <c r="AA43" i="6" s="1"/>
  <c r="AB43" i="6" s="1"/>
  <c r="O44" i="6" s="1"/>
  <c r="P44" i="6" s="1"/>
  <c r="Q44" i="6" s="1"/>
  <c r="S44" i="6" s="1"/>
  <c r="X41" i="6"/>
  <c r="AQ41" i="6" s="1"/>
  <c r="U42" i="6"/>
  <c r="AR29" i="6"/>
  <c r="AT29" i="6" s="1"/>
  <c r="AS29" i="6" l="1"/>
  <c r="AR30" i="6" s="1"/>
  <c r="AT30" i="6" s="1"/>
  <c r="T44" i="6"/>
  <c r="Z44" i="6"/>
  <c r="AA44" i="6" s="1"/>
  <c r="AB44" i="6" s="1"/>
  <c r="O45" i="6" s="1"/>
  <c r="P45" i="6" s="1"/>
  <c r="Q45" i="6" s="1"/>
  <c r="S45" i="6" s="1"/>
  <c r="U43" i="6"/>
  <c r="V42" i="6"/>
  <c r="W42" i="6" s="1"/>
  <c r="V43" i="6"/>
  <c r="W43" i="6" s="1"/>
  <c r="T45" i="6" l="1"/>
  <c r="Z45" i="6"/>
  <c r="AA45" i="6" s="1"/>
  <c r="AB45" i="6" s="1"/>
  <c r="O46" i="6" s="1"/>
  <c r="P46" i="6" s="1"/>
  <c r="Q46" i="6" s="1"/>
  <c r="S46" i="6" s="1"/>
  <c r="AS30" i="6"/>
  <c r="X43" i="6"/>
  <c r="AQ43" i="6" s="1"/>
  <c r="X42" i="6"/>
  <c r="AQ42" i="6" s="1"/>
  <c r="U44" i="6"/>
  <c r="V44" i="6" l="1"/>
  <c r="W44" i="6" s="1"/>
  <c r="AR31" i="6"/>
  <c r="AT31" i="6" s="1"/>
  <c r="U45" i="6"/>
  <c r="V45" i="6" s="1"/>
  <c r="W45" i="6" s="1"/>
  <c r="T46" i="6"/>
  <c r="Z46" i="6"/>
  <c r="AA46" i="6" s="1"/>
  <c r="AB46" i="6" s="1"/>
  <c r="O47" i="6" s="1"/>
  <c r="P47" i="6" s="1"/>
  <c r="Q47" i="6" s="1"/>
  <c r="S47" i="6" s="1"/>
  <c r="AS31" i="6" l="1"/>
  <c r="AR32" i="6" s="1"/>
  <c r="AT32" i="6" s="1"/>
  <c r="X45" i="6"/>
  <c r="AQ45" i="6" s="1"/>
  <c r="T47" i="6"/>
  <c r="Z47" i="6"/>
  <c r="AA47" i="6" s="1"/>
  <c r="AB47" i="6" s="1"/>
  <c r="O48" i="6" s="1"/>
  <c r="P48" i="6" s="1"/>
  <c r="Q48" i="6" s="1"/>
  <c r="S48" i="6" s="1"/>
  <c r="U46" i="6"/>
  <c r="X44" i="6"/>
  <c r="AQ44" i="6" s="1"/>
  <c r="U47" i="6" l="1"/>
  <c r="V47" i="6" s="1"/>
  <c r="W47" i="6" s="1"/>
  <c r="AS32" i="6"/>
  <c r="Z48" i="6"/>
  <c r="AA48" i="6" s="1"/>
  <c r="AB48" i="6" s="1"/>
  <c r="O49" i="6" s="1"/>
  <c r="P49" i="6" s="1"/>
  <c r="Q49" i="6" s="1"/>
  <c r="S49" i="6" s="1"/>
  <c r="T48" i="6"/>
  <c r="V46" i="6"/>
  <c r="W46" i="6" s="1"/>
  <c r="X46" i="6" l="1"/>
  <c r="AQ46" i="6" s="1"/>
  <c r="T49" i="6"/>
  <c r="Z49" i="6"/>
  <c r="AA49" i="6" s="1"/>
  <c r="AB49" i="6" s="1"/>
  <c r="O50" i="6" s="1"/>
  <c r="P50" i="6" s="1"/>
  <c r="Q50" i="6" s="1"/>
  <c r="S50" i="6" s="1"/>
  <c r="AR33" i="6"/>
  <c r="AT33" i="6" s="1"/>
  <c r="X47" i="6"/>
  <c r="AQ47" i="6" s="1"/>
  <c r="U48" i="6"/>
  <c r="V48" i="6" s="1"/>
  <c r="W48" i="6" s="1"/>
  <c r="T50" i="6" l="1"/>
  <c r="Z50" i="6"/>
  <c r="AA50" i="6" s="1"/>
  <c r="AB50" i="6" s="1"/>
  <c r="O51" i="6" s="1"/>
  <c r="P51" i="6" s="1"/>
  <c r="Q51" i="6" s="1"/>
  <c r="S51" i="6" s="1"/>
  <c r="X48" i="6"/>
  <c r="AQ48" i="6" s="1"/>
  <c r="AS33" i="6"/>
  <c r="U49" i="6"/>
  <c r="T51" i="6" l="1"/>
  <c r="Z51" i="6"/>
  <c r="AA51" i="6" s="1"/>
  <c r="AB51" i="6" s="1"/>
  <c r="O52" i="6" s="1"/>
  <c r="P52" i="6" s="1"/>
  <c r="Q52" i="6" s="1"/>
  <c r="S52" i="6" s="1"/>
  <c r="U50" i="6"/>
  <c r="V49" i="6"/>
  <c r="W49" i="6" s="1"/>
  <c r="AR34" i="6"/>
  <c r="AT34" i="6" s="1"/>
  <c r="V50" i="6"/>
  <c r="W50" i="6" s="1"/>
  <c r="T52" i="6" l="1"/>
  <c r="Z52" i="6"/>
  <c r="AA52" i="6" s="1"/>
  <c r="AB52" i="6" s="1"/>
  <c r="O53" i="6" s="1"/>
  <c r="P53" i="6" s="1"/>
  <c r="Q53" i="6" s="1"/>
  <c r="S53" i="6" s="1"/>
  <c r="AS34" i="6"/>
  <c r="X49" i="6"/>
  <c r="AQ49" i="6" s="1"/>
  <c r="X50" i="6"/>
  <c r="AQ50" i="6" s="1"/>
  <c r="U51" i="6"/>
  <c r="V51" i="6" s="1"/>
  <c r="W51" i="6" s="1"/>
  <c r="T53" i="6" l="1"/>
  <c r="Z53" i="6"/>
  <c r="AA53" i="6" s="1"/>
  <c r="AB53" i="6" s="1"/>
  <c r="O54" i="6" s="1"/>
  <c r="P54" i="6" s="1"/>
  <c r="Q54" i="6" s="1"/>
  <c r="S54" i="6" s="1"/>
  <c r="AR35" i="6"/>
  <c r="AT35" i="6" s="1"/>
  <c r="X51" i="6"/>
  <c r="AQ51" i="6" s="1"/>
  <c r="U52" i="6"/>
  <c r="V52" i="6" s="1"/>
  <c r="W52" i="6" s="1"/>
  <c r="Z54" i="6" l="1"/>
  <c r="AA54" i="6" s="1"/>
  <c r="AB54" i="6" s="1"/>
  <c r="O55" i="6" s="1"/>
  <c r="P55" i="6" s="1"/>
  <c r="Q55" i="6" s="1"/>
  <c r="S55" i="6" s="1"/>
  <c r="T54" i="6"/>
  <c r="AS35" i="6"/>
  <c r="U53" i="6"/>
  <c r="V53" i="6" s="1"/>
  <c r="W53" i="6" s="1"/>
  <c r="X52" i="6"/>
  <c r="AQ52" i="6" s="1"/>
  <c r="T55" i="6" l="1"/>
  <c r="Z55" i="6"/>
  <c r="AA55" i="6" s="1"/>
  <c r="AB55" i="6" s="1"/>
  <c r="O56" i="6" s="1"/>
  <c r="P56" i="6" s="1"/>
  <c r="Q56" i="6" s="1"/>
  <c r="S56" i="6" s="1"/>
  <c r="X53" i="6"/>
  <c r="AQ53" i="6" s="1"/>
  <c r="AR36" i="6"/>
  <c r="AT36" i="6" s="1"/>
  <c r="U54" i="6"/>
  <c r="V54" i="6" s="1"/>
  <c r="W54" i="6" s="1"/>
  <c r="T56" i="6" l="1"/>
  <c r="Z56" i="6"/>
  <c r="AA56" i="6" s="1"/>
  <c r="AB56" i="6" s="1"/>
  <c r="O57" i="6" s="1"/>
  <c r="P57" i="6" s="1"/>
  <c r="Q57" i="6" s="1"/>
  <c r="S57" i="6" s="1"/>
  <c r="X54" i="6"/>
  <c r="AQ54" i="6" s="1"/>
  <c r="AS36" i="6"/>
  <c r="U55" i="6"/>
  <c r="V55" i="6" s="1"/>
  <c r="W55" i="6" s="1"/>
  <c r="X55" i="6" l="1"/>
  <c r="AQ55" i="6" s="1"/>
  <c r="AR37" i="6"/>
  <c r="AT37" i="6" s="1"/>
  <c r="T57" i="6"/>
  <c r="Z57" i="6"/>
  <c r="AA57" i="6" s="1"/>
  <c r="AB57" i="6" s="1"/>
  <c r="O58" i="6" s="1"/>
  <c r="P58" i="6" s="1"/>
  <c r="Q58" i="6" s="1"/>
  <c r="S58" i="6" s="1"/>
  <c r="U56" i="6"/>
  <c r="T58" i="6" l="1"/>
  <c r="Z58" i="6"/>
  <c r="AA58" i="6" s="1"/>
  <c r="AB58" i="6" s="1"/>
  <c r="O59" i="6" s="1"/>
  <c r="P59" i="6" s="1"/>
  <c r="Q59" i="6" s="1"/>
  <c r="S59" i="6" s="1"/>
  <c r="U57" i="6"/>
  <c r="V57" i="6" s="1"/>
  <c r="W57" i="6" s="1"/>
  <c r="V56" i="6"/>
  <c r="W56" i="6" s="1"/>
  <c r="AS37" i="6"/>
  <c r="Z59" i="6" l="1"/>
  <c r="AA59" i="6" s="1"/>
  <c r="AB59" i="6" s="1"/>
  <c r="O60" i="6" s="1"/>
  <c r="P60" i="6" s="1"/>
  <c r="Q60" i="6" s="1"/>
  <c r="S60" i="6" s="1"/>
  <c r="T59" i="6"/>
  <c r="AR38" i="6"/>
  <c r="AT38" i="6" s="1"/>
  <c r="X57" i="6"/>
  <c r="AQ57" i="6" s="1"/>
  <c r="X56" i="6"/>
  <c r="AQ56" i="6" s="1"/>
  <c r="U58" i="6"/>
  <c r="V58" i="6" s="1"/>
  <c r="W58" i="6" s="1"/>
  <c r="T60" i="6" l="1"/>
  <c r="Z60" i="6"/>
  <c r="AA60" i="6" s="1"/>
  <c r="AB60" i="6" s="1"/>
  <c r="O61" i="6" s="1"/>
  <c r="P61" i="6" s="1"/>
  <c r="Q61" i="6" s="1"/>
  <c r="S61" i="6" s="1"/>
  <c r="U59" i="6"/>
  <c r="AS38" i="6"/>
  <c r="X58" i="6"/>
  <c r="AQ58" i="6" s="1"/>
  <c r="V59" i="6"/>
  <c r="W59" i="6" s="1"/>
  <c r="T61" i="6" l="1"/>
  <c r="Z61" i="6"/>
  <c r="AA61" i="6" s="1"/>
  <c r="AB61" i="6" s="1"/>
  <c r="O62" i="6" s="1"/>
  <c r="P62" i="6" s="1"/>
  <c r="Q62" i="6" s="1"/>
  <c r="S62" i="6" s="1"/>
  <c r="AR39" i="6"/>
  <c r="AT39" i="6" s="1"/>
  <c r="X59" i="6"/>
  <c r="AQ59" i="6" s="1"/>
  <c r="U60" i="6"/>
  <c r="T62" i="6" l="1"/>
  <c r="Z62" i="6"/>
  <c r="AA62" i="6" s="1"/>
  <c r="AB62" i="6" s="1"/>
  <c r="O63" i="6" s="1"/>
  <c r="P63" i="6" s="1"/>
  <c r="Q63" i="6" s="1"/>
  <c r="S63" i="6" s="1"/>
  <c r="AS39" i="6"/>
  <c r="V60" i="6"/>
  <c r="W60" i="6" s="1"/>
  <c r="U61" i="6"/>
  <c r="Z63" i="6" l="1"/>
  <c r="AA63" i="6" s="1"/>
  <c r="AB63" i="6" s="1"/>
  <c r="O64" i="6" s="1"/>
  <c r="P64" i="6" s="1"/>
  <c r="Q64" i="6" s="1"/>
  <c r="S64" i="6" s="1"/>
  <c r="T63" i="6"/>
  <c r="V61" i="6"/>
  <c r="W61" i="6" s="1"/>
  <c r="AR40" i="6"/>
  <c r="AT40" i="6" s="1"/>
  <c r="X60" i="6"/>
  <c r="AQ60" i="6" s="1"/>
  <c r="U62" i="6"/>
  <c r="V62" i="6" s="1"/>
  <c r="W62" i="6" s="1"/>
  <c r="AS40" i="6" l="1"/>
  <c r="AR41" i="6" s="1"/>
  <c r="AT41" i="6" s="1"/>
  <c r="X62" i="6"/>
  <c r="AQ62" i="6" s="1"/>
  <c r="U63" i="6"/>
  <c r="V63" i="6" s="1"/>
  <c r="W63" i="6" s="1"/>
  <c r="X61" i="6"/>
  <c r="AQ61" i="6" s="1"/>
  <c r="T64" i="6"/>
  <c r="Z64" i="6"/>
  <c r="AA64" i="6" s="1"/>
  <c r="AB64" i="6" s="1"/>
  <c r="O65" i="6" s="1"/>
  <c r="P65" i="6" s="1"/>
  <c r="Q65" i="6" s="1"/>
  <c r="S65" i="6" s="1"/>
  <c r="AS41" i="6" l="1"/>
  <c r="AR42" i="6" s="1"/>
  <c r="AT42" i="6" s="1"/>
  <c r="T65" i="6"/>
  <c r="Z65" i="6"/>
  <c r="AA65" i="6" s="1"/>
  <c r="AB65" i="6" s="1"/>
  <c r="O66" i="6" s="1"/>
  <c r="P66" i="6" s="1"/>
  <c r="Q66" i="6" s="1"/>
  <c r="S66" i="6" s="1"/>
  <c r="X63" i="6"/>
  <c r="AQ63" i="6" s="1"/>
  <c r="U64" i="6"/>
  <c r="AS42" i="6" l="1"/>
  <c r="AR43" i="6" s="1"/>
  <c r="AT43" i="6" s="1"/>
  <c r="T66" i="6"/>
  <c r="Z66" i="6"/>
  <c r="AA66" i="6" s="1"/>
  <c r="AB66" i="6" s="1"/>
  <c r="O67" i="6" s="1"/>
  <c r="P67" i="6" s="1"/>
  <c r="Q67" i="6" s="1"/>
  <c r="S67" i="6" s="1"/>
  <c r="U65" i="6"/>
  <c r="V65" i="6" s="1"/>
  <c r="W65" i="6" s="1"/>
  <c r="V64" i="6"/>
  <c r="W64" i="6" s="1"/>
  <c r="X65" i="6" l="1"/>
  <c r="AQ65" i="6" s="1"/>
  <c r="X64" i="6"/>
  <c r="AQ64" i="6" s="1"/>
  <c r="AS43" i="6"/>
  <c r="T67" i="6"/>
  <c r="Z67" i="6"/>
  <c r="AA67" i="6" s="1"/>
  <c r="AB67" i="6" s="1"/>
  <c r="O68" i="6" s="1"/>
  <c r="P68" i="6" s="1"/>
  <c r="Q68" i="6" s="1"/>
  <c r="S68" i="6" s="1"/>
  <c r="U66" i="6"/>
  <c r="Z68" i="6" l="1"/>
  <c r="AA68" i="6" s="1"/>
  <c r="AB68" i="6" s="1"/>
  <c r="O69" i="6" s="1"/>
  <c r="P69" i="6" s="1"/>
  <c r="Q69" i="6" s="1"/>
  <c r="S69" i="6" s="1"/>
  <c r="T68" i="6"/>
  <c r="U67" i="6"/>
  <c r="V67" i="6" s="1"/>
  <c r="W67" i="6" s="1"/>
  <c r="V66" i="6"/>
  <c r="W66" i="6" s="1"/>
  <c r="AR44" i="6"/>
  <c r="AT44" i="6" s="1"/>
  <c r="AS44" i="6" l="1"/>
  <c r="AR45" i="6" s="1"/>
  <c r="AT45" i="6" s="1"/>
  <c r="T69" i="6"/>
  <c r="Z69" i="6"/>
  <c r="AA69" i="6" s="1"/>
  <c r="AB69" i="6" s="1"/>
  <c r="O70" i="6" s="1"/>
  <c r="P70" i="6" s="1"/>
  <c r="Q70" i="6" s="1"/>
  <c r="S70" i="6" s="1"/>
  <c r="X67" i="6"/>
  <c r="AQ67" i="6" s="1"/>
  <c r="X66" i="6"/>
  <c r="AQ66" i="6" s="1"/>
  <c r="U68" i="6"/>
  <c r="V68" i="6" l="1"/>
  <c r="W68" i="6" s="1"/>
  <c r="AS45" i="6"/>
  <c r="U69" i="6"/>
  <c r="V69" i="6" s="1"/>
  <c r="W69" i="6" s="1"/>
  <c r="T70" i="6"/>
  <c r="Z70" i="6"/>
  <c r="AA70" i="6" s="1"/>
  <c r="AB70" i="6" s="1"/>
  <c r="O71" i="6" s="1"/>
  <c r="P71" i="6" s="1"/>
  <c r="Q71" i="6" s="1"/>
  <c r="S71" i="6" s="1"/>
  <c r="Z71" i="6" l="1"/>
  <c r="AA71" i="6" s="1"/>
  <c r="AB71" i="6" s="1"/>
  <c r="O72" i="6" s="1"/>
  <c r="P72" i="6" s="1"/>
  <c r="Q72" i="6" s="1"/>
  <c r="S72" i="6" s="1"/>
  <c r="T71" i="6"/>
  <c r="X68" i="6"/>
  <c r="AQ68" i="6" s="1"/>
  <c r="U70" i="6"/>
  <c r="V70" i="6" s="1"/>
  <c r="W70" i="6" s="1"/>
  <c r="X69" i="6"/>
  <c r="AQ69" i="6" s="1"/>
  <c r="AR46" i="6"/>
  <c r="AT46" i="6" s="1"/>
  <c r="T72" i="6" l="1"/>
  <c r="Z72" i="6"/>
  <c r="AA72" i="6" s="1"/>
  <c r="AB72" i="6" s="1"/>
  <c r="O73" i="6" s="1"/>
  <c r="P73" i="6" s="1"/>
  <c r="Q73" i="6" s="1"/>
  <c r="S73" i="6" s="1"/>
  <c r="X70" i="6"/>
  <c r="AQ70" i="6" s="1"/>
  <c r="U71" i="6"/>
  <c r="V71" i="6" s="1"/>
  <c r="W71" i="6" s="1"/>
  <c r="AS46" i="6"/>
  <c r="Z73" i="6" l="1"/>
  <c r="AA73" i="6" s="1"/>
  <c r="AB73" i="6" s="1"/>
  <c r="O74" i="6" s="1"/>
  <c r="P74" i="6" s="1"/>
  <c r="Q74" i="6" s="1"/>
  <c r="S74" i="6" s="1"/>
  <c r="T73" i="6"/>
  <c r="X71" i="6"/>
  <c r="AQ71" i="6" s="1"/>
  <c r="AR47" i="6"/>
  <c r="AT47" i="6" s="1"/>
  <c r="U72" i="6"/>
  <c r="V72" i="6" s="1"/>
  <c r="W72" i="6" s="1"/>
  <c r="T74" i="6" l="1"/>
  <c r="Z74" i="6"/>
  <c r="AA74" i="6" s="1"/>
  <c r="AB74" i="6" s="1"/>
  <c r="O75" i="6" s="1"/>
  <c r="P75" i="6" s="1"/>
  <c r="Q75" i="6" s="1"/>
  <c r="S75" i="6" s="1"/>
  <c r="AS47" i="6"/>
  <c r="X72" i="6"/>
  <c r="AQ72" i="6" s="1"/>
  <c r="U73" i="6"/>
  <c r="V73" i="6" l="1"/>
  <c r="W73" i="6" s="1"/>
  <c r="AR48" i="6"/>
  <c r="AT48" i="6" s="1"/>
  <c r="T75" i="6"/>
  <c r="Z75" i="6"/>
  <c r="AA75" i="6" s="1"/>
  <c r="AB75" i="6" s="1"/>
  <c r="O76" i="6" s="1"/>
  <c r="P76" i="6" s="1"/>
  <c r="Q76" i="6" s="1"/>
  <c r="S76" i="6" s="1"/>
  <c r="U74" i="6"/>
  <c r="V74" i="6" s="1"/>
  <c r="W74" i="6" s="1"/>
  <c r="AS48" i="6" l="1"/>
  <c r="AR49" i="6" s="1"/>
  <c r="AT49" i="6" s="1"/>
  <c r="Z76" i="6"/>
  <c r="AA76" i="6" s="1"/>
  <c r="AB76" i="6" s="1"/>
  <c r="O77" i="6" s="1"/>
  <c r="P77" i="6" s="1"/>
  <c r="Q77" i="6" s="1"/>
  <c r="S77" i="6" s="1"/>
  <c r="T76" i="6"/>
  <c r="U75" i="6"/>
  <c r="V75" i="6" s="1"/>
  <c r="W75" i="6" s="1"/>
  <c r="X74" i="6"/>
  <c r="AQ74" i="6" s="1"/>
  <c r="X73" i="6"/>
  <c r="AQ73" i="6" s="1"/>
  <c r="AS49" i="6" l="1"/>
  <c r="AR50" i="6" s="1"/>
  <c r="AT50" i="6" s="1"/>
  <c r="X75" i="6"/>
  <c r="AQ75" i="6" s="1"/>
  <c r="Z77" i="6"/>
  <c r="AA77" i="6" s="1"/>
  <c r="AB77" i="6" s="1"/>
  <c r="O78" i="6" s="1"/>
  <c r="P78" i="6" s="1"/>
  <c r="Q78" i="6" s="1"/>
  <c r="S78" i="6" s="1"/>
  <c r="T77" i="6"/>
  <c r="U76" i="6"/>
  <c r="T78" i="6" l="1"/>
  <c r="Z78" i="6"/>
  <c r="AA78" i="6" s="1"/>
  <c r="AB78" i="6" s="1"/>
  <c r="O79" i="6" s="1"/>
  <c r="P79" i="6" s="1"/>
  <c r="Q79" i="6" s="1"/>
  <c r="S79" i="6" s="1"/>
  <c r="V76" i="6"/>
  <c r="W76" i="6" s="1"/>
  <c r="U77" i="6"/>
  <c r="V77" i="6" s="1"/>
  <c r="W77" i="6" s="1"/>
  <c r="AS50" i="6"/>
  <c r="T79" i="6" l="1"/>
  <c r="Z79" i="6"/>
  <c r="AA79" i="6" s="1"/>
  <c r="AB79" i="6" s="1"/>
  <c r="O80" i="6" s="1"/>
  <c r="P80" i="6" s="1"/>
  <c r="Q80" i="6" s="1"/>
  <c r="S80" i="6" s="1"/>
  <c r="AR51" i="6"/>
  <c r="AT51" i="6" s="1"/>
  <c r="X77" i="6"/>
  <c r="AQ77" i="6" s="1"/>
  <c r="X76" i="6"/>
  <c r="AQ76" i="6" s="1"/>
  <c r="U78" i="6"/>
  <c r="AS51" i="6" l="1"/>
  <c r="T80" i="6"/>
  <c r="Z80" i="6"/>
  <c r="AA80" i="6" s="1"/>
  <c r="AB80" i="6" s="1"/>
  <c r="O81" i="6" s="1"/>
  <c r="P81" i="6" s="1"/>
  <c r="Q81" i="6" s="1"/>
  <c r="S81" i="6" s="1"/>
  <c r="AR52" i="6"/>
  <c r="AT52" i="6" s="1"/>
  <c r="V78" i="6"/>
  <c r="W78" i="6" s="1"/>
  <c r="U79" i="6"/>
  <c r="AS52" i="6" l="1"/>
  <c r="AR53" i="6" s="1"/>
  <c r="AT53" i="6" s="1"/>
  <c r="X78" i="6"/>
  <c r="AQ78" i="6" s="1"/>
  <c r="Z81" i="6"/>
  <c r="AA81" i="6" s="1"/>
  <c r="AB81" i="6" s="1"/>
  <c r="O82" i="6" s="1"/>
  <c r="P82" i="6" s="1"/>
  <c r="Q82" i="6" s="1"/>
  <c r="S82" i="6" s="1"/>
  <c r="T81" i="6"/>
  <c r="V79" i="6"/>
  <c r="W79" i="6" s="1"/>
  <c r="U80" i="6"/>
  <c r="V80" i="6" s="1"/>
  <c r="W80" i="6" s="1"/>
  <c r="Z82" i="6" l="1"/>
  <c r="T82" i="6"/>
  <c r="X80" i="6"/>
  <c r="AQ80" i="6" s="1"/>
  <c r="U81" i="6"/>
  <c r="AS53" i="6"/>
  <c r="X79" i="6"/>
  <c r="AQ79" i="6" s="1"/>
  <c r="AR54" i="6" l="1"/>
  <c r="AT54" i="6" s="1"/>
  <c r="V81" i="6"/>
  <c r="W81" i="6" s="1"/>
  <c r="Q9" i="6"/>
  <c r="P9" i="6"/>
  <c r="T9" i="6"/>
  <c r="AA82" i="6"/>
  <c r="Z9" i="6"/>
  <c r="R5" i="6" s="1"/>
  <c r="AS54" i="6" l="1"/>
  <c r="AR55" i="6" s="1"/>
  <c r="AT55" i="6" s="1"/>
  <c r="U82" i="6"/>
  <c r="S9" i="6"/>
  <c r="X81" i="6"/>
  <c r="AQ81" i="6" s="1"/>
  <c r="AA9" i="6"/>
  <c r="R6" i="6" s="1"/>
  <c r="AB82" i="6"/>
  <c r="AS55" i="6" l="1"/>
  <c r="U9" i="6"/>
  <c r="V82" i="6"/>
  <c r="V9" i="6" l="1"/>
  <c r="W82" i="6"/>
  <c r="X82" i="6"/>
  <c r="AR56" i="6"/>
  <c r="AT56" i="6" s="1"/>
  <c r="AQ82" i="6" l="1"/>
  <c r="X9" i="6"/>
  <c r="AS56" i="6"/>
  <c r="B7" i="6"/>
  <c r="W9" i="6"/>
  <c r="AR57" i="6" l="1"/>
  <c r="AT57" i="6" s="1"/>
  <c r="AQ9" i="6"/>
  <c r="AS57" i="6" l="1"/>
  <c r="AR58" i="6" l="1"/>
  <c r="AT58" i="6" s="1"/>
  <c r="AS58" i="6" l="1"/>
  <c r="AR59" i="6" l="1"/>
  <c r="AT59" i="6" s="1"/>
  <c r="AS59" i="6" l="1"/>
  <c r="AR60" i="6" l="1"/>
  <c r="AT60" i="6" s="1"/>
  <c r="AS60" i="6" l="1"/>
  <c r="AR61" i="6" s="1"/>
  <c r="AT61" i="6" s="1"/>
  <c r="AS61" i="6" l="1"/>
  <c r="AR62" i="6" l="1"/>
  <c r="AT62" i="6" s="1"/>
  <c r="AS62" i="6" l="1"/>
  <c r="AR63" i="6" l="1"/>
  <c r="AT63" i="6" s="1"/>
  <c r="AS63" i="6" l="1"/>
  <c r="AR64" i="6" l="1"/>
  <c r="AT64" i="6" s="1"/>
  <c r="AS64" i="6" l="1"/>
  <c r="AR65" i="6" l="1"/>
  <c r="AT65" i="6" s="1"/>
  <c r="AS65" i="6" l="1"/>
  <c r="AR66" i="6" l="1"/>
  <c r="AT66" i="6" s="1"/>
  <c r="AS66" i="6" l="1"/>
  <c r="AR67" i="6" l="1"/>
  <c r="AT67" i="6" s="1"/>
  <c r="AS67" i="6" l="1"/>
  <c r="AR68" i="6" l="1"/>
  <c r="AT68" i="6" s="1"/>
  <c r="AS68" i="6" l="1"/>
  <c r="AR69" i="6" l="1"/>
  <c r="AT69" i="6" s="1"/>
  <c r="AS69" i="6" l="1"/>
  <c r="AR70" i="6" l="1"/>
  <c r="AT70" i="6" s="1"/>
  <c r="AS70" i="6" l="1"/>
  <c r="AR71" i="6" s="1"/>
  <c r="AT71" i="6" s="1"/>
  <c r="AS71" i="6" l="1"/>
  <c r="AR72" i="6" l="1"/>
  <c r="AT72" i="6" s="1"/>
  <c r="AS72" i="6" l="1"/>
  <c r="AR73" i="6" l="1"/>
  <c r="AT73" i="6" s="1"/>
  <c r="AS73" i="6" l="1"/>
  <c r="AR74" i="6" l="1"/>
  <c r="AT74" i="6" s="1"/>
  <c r="AS74" i="6" l="1"/>
  <c r="AR75" i="6" l="1"/>
  <c r="AT75" i="6" s="1"/>
  <c r="AS75" i="6" l="1"/>
  <c r="AR76" i="6" l="1"/>
  <c r="AT76" i="6" s="1"/>
  <c r="AS76" i="6" l="1"/>
  <c r="AR77" i="6" s="1"/>
  <c r="AT77" i="6" s="1"/>
  <c r="AS77" i="6" l="1"/>
  <c r="AR78" i="6" s="1"/>
  <c r="AT78" i="6" s="1"/>
  <c r="AS78" i="6" l="1"/>
  <c r="AR79" i="6" l="1"/>
  <c r="AT79" i="6" s="1"/>
  <c r="AS79" i="6" l="1"/>
  <c r="AR80" i="6" l="1"/>
  <c r="AT80" i="6" s="1"/>
  <c r="AS80" i="6" l="1"/>
  <c r="AR81" i="6" l="1"/>
  <c r="AT81" i="6" s="1"/>
  <c r="AS81" i="6" l="1"/>
  <c r="AR82" i="6" l="1"/>
  <c r="AR9" i="6" l="1"/>
  <c r="AT82" i="6"/>
  <c r="AT9" i="6" s="1"/>
  <c r="AS82" i="6"/>
</calcChain>
</file>

<file path=xl/sharedStrings.xml><?xml version="1.0" encoding="utf-8"?>
<sst xmlns="http://schemas.openxmlformats.org/spreadsheetml/2006/main" count="68" uniqueCount="56">
  <si>
    <t>Coupon</t>
  </si>
  <si>
    <t>Month</t>
  </si>
  <si>
    <t>Interest</t>
  </si>
  <si>
    <t>Principal</t>
  </si>
  <si>
    <t>Open Balance</t>
  </si>
  <si>
    <t>Balance</t>
  </si>
  <si>
    <t>Notes</t>
  </si>
  <si>
    <t>Serv Fee</t>
  </si>
  <si>
    <t>Reserve Account</t>
  </si>
  <si>
    <t>Open Bal</t>
  </si>
  <si>
    <t>Int Due</t>
  </si>
  <si>
    <t>Int Paid</t>
  </si>
  <si>
    <t>End Bal</t>
  </si>
  <si>
    <t>Interest Shortfall</t>
  </si>
  <si>
    <t>Principal Paid</t>
  </si>
  <si>
    <t>Ending Balance</t>
  </si>
  <si>
    <t>Bond Amortization</t>
  </si>
  <si>
    <t>Cash Available</t>
  </si>
  <si>
    <t>Initial</t>
  </si>
  <si>
    <t>Collateral Cashflows</t>
  </si>
  <si>
    <t>Required</t>
  </si>
  <si>
    <t>Top-Up</t>
  </si>
  <si>
    <t>XS Release</t>
  </si>
  <si>
    <t>Servicing Fee Due</t>
  </si>
  <si>
    <t>Servicing Fee Paid</t>
  </si>
  <si>
    <t>Servicing Fee</t>
  </si>
  <si>
    <t>Servicing Fee Shortfall</t>
  </si>
  <si>
    <t>Serv Fee Shortfall</t>
  </si>
  <si>
    <t>SMM</t>
  </si>
  <si>
    <t>Adjusted Balance</t>
  </si>
  <si>
    <t>Adjusted Principal</t>
  </si>
  <si>
    <t>Adjusted Interest</t>
  </si>
  <si>
    <t>Prepayments</t>
  </si>
  <si>
    <t>ABS Rate</t>
  </si>
  <si>
    <t>Scheduled Prin</t>
  </si>
  <si>
    <t>Prepaid Prin</t>
  </si>
  <si>
    <t>Ttoal</t>
  </si>
  <si>
    <t>Scheduled Principal</t>
  </si>
  <si>
    <t>Prepaid Principal</t>
  </si>
  <si>
    <t>Loss To Liquidation</t>
  </si>
  <si>
    <t>Cumulative</t>
  </si>
  <si>
    <t>Monthly</t>
  </si>
  <si>
    <t>Scaled</t>
  </si>
  <si>
    <t>Loss Experience</t>
  </si>
  <si>
    <t>Scaling Factor</t>
  </si>
  <si>
    <t>Recovery Percent</t>
  </si>
  <si>
    <t>Lag (months)</t>
  </si>
  <si>
    <t>Drawn</t>
  </si>
  <si>
    <t>Balance After Draw</t>
  </si>
  <si>
    <t>Defaulted Principal</t>
  </si>
  <si>
    <t>Available Cash</t>
  </si>
  <si>
    <t>Default Covered By Avail Cash</t>
  </si>
  <si>
    <t>Uncovered Defaults</t>
  </si>
  <si>
    <t>Covered by Reserve Account</t>
  </si>
  <si>
    <t>Covered Defaults</t>
  </si>
  <si>
    <t>Uncovered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</si>
</sst>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_-* #,##0.00_-;\-* #,##0.00_-;_-* &quot;-&quot;??_-;_-@_-"/>
    <numFmt numFmtId="165" formatCode="_-* #,##0_-;\-* #,##0_-;_-* &quot;-&quot;??_-;_-@_-"/>
    <numFmt numFmtId="166" formatCode="0.0%"/>
    <numFmt numFmtId="167" formatCode="_(* #,##0_);_(* \(#,##0\);_(* &quot;-&quot;??_);_(@_)"/>
    <numFmt numFmtId="168" formatCode="0.000%"/>
  </numFmts>
  <fonts count="14" x14ac:knownFonts="1">
    <font>
      <sz val="10"/>
      <name val="Arial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rgb="FF0000FF"/>
      <name val="Arial"/>
      <family val="2"/>
    </font>
    <font>
      <b/>
      <sz val="10"/>
      <color theme="0"/>
      <name val="Arial"/>
      <family val="2"/>
    </font>
    <font>
      <sz val="8"/>
      <name val="Arial"/>
      <family val="2"/>
    </font>
    <font>
      <b/>
      <sz val="9"/>
      <color rgb="FF0000FF"/>
      <name val="Arial"/>
      <family val="2"/>
    </font>
    <font>
      <b/>
      <sz val="8"/>
      <name val="Arial"/>
      <family val="2"/>
    </font>
    <font>
      <b/>
      <sz val="10"/>
      <color rgb="FFC0000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b/>
      <sz val="9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9" fillId="0" borderId="0" applyFont="0" applyFill="0" applyBorder="0" applyAlignment="0" applyProtection="0"/>
  </cellStyleXfs>
  <cellXfs count="39">
    <xf numFmtId="0" fontId="0" fillId="0" borderId="0" xfId="0"/>
    <xf numFmtId="0" fontId="2" fillId="0" borderId="0" xfId="0" applyFont="1" applyAlignment="1">
      <alignment horizontal="center"/>
    </xf>
    <xf numFmtId="0" fontId="3" fillId="2" borderId="0" xfId="0" applyFont="1" applyFill="1" applyAlignment="1">
      <alignment horizontal="center"/>
    </xf>
    <xf numFmtId="165" fontId="5" fillId="0" borderId="0" xfId="1" applyNumberFormat="1" applyFont="1"/>
    <xf numFmtId="0" fontId="3" fillId="0" borderId="0" xfId="0" applyFont="1"/>
    <xf numFmtId="165" fontId="6" fillId="4" borderId="0" xfId="1" applyNumberFormat="1" applyFont="1" applyFill="1" applyAlignment="1">
      <alignment horizontal="center"/>
    </xf>
    <xf numFmtId="9" fontId="3" fillId="4" borderId="0" xfId="0" applyNumberFormat="1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4" fillId="5" borderId="0" xfId="0" applyFont="1" applyFill="1" applyAlignment="1">
      <alignment horizontal="center" wrapText="1"/>
    </xf>
    <xf numFmtId="0" fontId="4" fillId="7" borderId="0" xfId="0" applyFont="1" applyFill="1" applyAlignment="1">
      <alignment horizontal="center" wrapText="1"/>
    </xf>
    <xf numFmtId="165" fontId="7" fillId="0" borderId="4" xfId="1" applyNumberFormat="1" applyFont="1" applyBorder="1"/>
    <xf numFmtId="10" fontId="3" fillId="4" borderId="0" xfId="0" applyNumberFormat="1" applyFont="1" applyFill="1" applyAlignment="1">
      <alignment horizontal="center"/>
    </xf>
    <xf numFmtId="0" fontId="4" fillId="8" borderId="0" xfId="0" applyFont="1" applyFill="1" applyAlignment="1">
      <alignment horizontal="center" wrapText="1"/>
    </xf>
    <xf numFmtId="0" fontId="4" fillId="6" borderId="0" xfId="0" applyFont="1" applyFill="1" applyAlignment="1">
      <alignment horizontal="center"/>
    </xf>
    <xf numFmtId="165" fontId="0" fillId="0" borderId="0" xfId="0" applyNumberFormat="1"/>
    <xf numFmtId="43" fontId="0" fillId="0" borderId="0" xfId="0" applyNumberFormat="1"/>
    <xf numFmtId="0" fontId="4" fillId="6" borderId="2" xfId="0" applyFont="1" applyFill="1" applyBorder="1" applyAlignment="1">
      <alignment horizontal="center"/>
    </xf>
    <xf numFmtId="0" fontId="4" fillId="6" borderId="0" xfId="0" applyFont="1" applyFill="1" applyAlignment="1">
      <alignment horizontal="center" wrapText="1"/>
    </xf>
    <xf numFmtId="10" fontId="0" fillId="0" borderId="0" xfId="2" applyNumberFormat="1" applyFont="1"/>
    <xf numFmtId="10" fontId="0" fillId="0" borderId="0" xfId="0" applyNumberFormat="1"/>
    <xf numFmtId="166" fontId="6" fillId="4" borderId="0" xfId="2" applyNumberFormat="1" applyFont="1" applyFill="1" applyAlignment="1">
      <alignment horizontal="center"/>
    </xf>
    <xf numFmtId="167" fontId="0" fillId="0" borderId="0" xfId="0" applyNumberFormat="1"/>
    <xf numFmtId="165" fontId="10" fillId="0" borderId="0" xfId="0" applyNumberFormat="1" applyFont="1"/>
    <xf numFmtId="165" fontId="11" fillId="9" borderId="0" xfId="1" applyNumberFormat="1" applyFont="1" applyFill="1" applyAlignment="1">
      <alignment horizontal="center"/>
    </xf>
    <xf numFmtId="168" fontId="7" fillId="0" borderId="4" xfId="2" applyNumberFormat="1" applyFont="1" applyBorder="1"/>
    <xf numFmtId="0" fontId="3" fillId="2" borderId="0" xfId="0" applyFont="1" applyFill="1" applyAlignment="1">
      <alignment horizontal="left"/>
    </xf>
    <xf numFmtId="166" fontId="3" fillId="4" borderId="0" xfId="0" applyNumberFormat="1" applyFont="1" applyFill="1" applyAlignment="1">
      <alignment horizontal="center"/>
    </xf>
    <xf numFmtId="9" fontId="13" fillId="0" borderId="0" xfId="2" applyFont="1"/>
    <xf numFmtId="165" fontId="7" fillId="0" borderId="0" xfId="1" applyNumberFormat="1" applyFont="1" applyBorder="1"/>
    <xf numFmtId="0" fontId="4" fillId="3" borderId="0" xfId="0" applyFont="1" applyFill="1" applyAlignment="1">
      <alignment horizontal="center" wrapText="1"/>
    </xf>
    <xf numFmtId="0" fontId="3" fillId="2" borderId="0" xfId="0" applyFont="1" applyFill="1" applyAlignment="1">
      <alignment horizontal="center"/>
    </xf>
    <xf numFmtId="0" fontId="4" fillId="6" borderId="0" xfId="0" applyFont="1" applyFill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4" fillId="6" borderId="2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8" fillId="4" borderId="1" xfId="0" applyFont="1" applyFill="1" applyBorder="1" applyAlignment="1">
      <alignment horizontal="center"/>
    </xf>
    <xf numFmtId="0" fontId="8" fillId="4" borderId="2" xfId="0" applyFont="1" applyFill="1" applyBorder="1" applyAlignment="1">
      <alignment horizontal="center"/>
    </xf>
    <xf numFmtId="0" fontId="8" fillId="4" borderId="3" xfId="0" applyFont="1" applyFill="1" applyBorder="1" applyAlignment="1">
      <alignment horizontal="center"/>
    </xf>
    <xf numFmtId="0" fontId="12" fillId="4" borderId="0" xfId="0" applyFont="1" applyFill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080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2:AV82"/>
  <sheetViews>
    <sheetView tabSelected="1" workbookViewId="0">
      <selection activeCell="M29" sqref="M29"/>
    </sheetView>
  </sheetViews>
  <sheetFormatPr defaultRowHeight="12.5" x14ac:dyDescent="0.25"/>
  <cols>
    <col min="1" max="1" width="17.7265625" bestFit="1" customWidth="1"/>
    <col min="2" max="2" width="12" bestFit="1" customWidth="1"/>
    <col min="5" max="5" width="16.453125" bestFit="1" customWidth="1"/>
    <col min="6" max="6" width="7.7265625" bestFit="1" customWidth="1"/>
    <col min="7" max="7" width="6.90625" customWidth="1"/>
    <col min="9" max="9" width="15.1796875" bestFit="1" customWidth="1"/>
    <col min="11" max="12" width="13.453125" bestFit="1" customWidth="1"/>
    <col min="14" max="14" width="10.90625" bestFit="1" customWidth="1"/>
    <col min="15" max="15" width="12.26953125" bestFit="1" customWidth="1"/>
    <col min="16" max="16" width="13.453125" bestFit="1" customWidth="1"/>
    <col min="17" max="17" width="17.7265625" bestFit="1" customWidth="1"/>
    <col min="18" max="18" width="12.81640625" bestFit="1" customWidth="1"/>
    <col min="19" max="19" width="12.26953125" customWidth="1"/>
    <col min="20" max="20" width="11.26953125" bestFit="1" customWidth="1"/>
    <col min="21" max="21" width="9.81640625" customWidth="1"/>
    <col min="22" max="24" width="9.81640625" bestFit="1" customWidth="1"/>
    <col min="25" max="26" width="10.7265625" customWidth="1"/>
    <col min="27" max="27" width="10.7265625" bestFit="1" customWidth="1"/>
    <col min="28" max="28" width="12.26953125" bestFit="1" customWidth="1"/>
    <col min="29" max="38" width="12.26953125" customWidth="1"/>
    <col min="39" max="41" width="9.7265625" customWidth="1"/>
    <col min="42" max="42" width="11.26953125" bestFit="1" customWidth="1"/>
    <col min="43" max="43" width="11.26953125" customWidth="1"/>
    <col min="44" max="45" width="9.81640625" bestFit="1" customWidth="1"/>
    <col min="46" max="46" width="12" bestFit="1" customWidth="1"/>
    <col min="47" max="48" width="10.7265625" bestFit="1" customWidth="1"/>
  </cols>
  <sheetData>
    <row r="2" spans="1:46" ht="13" x14ac:dyDescent="0.3">
      <c r="A2" s="30" t="s">
        <v>6</v>
      </c>
      <c r="B2" s="30"/>
      <c r="C2" s="30"/>
      <c r="E2" s="25" t="s">
        <v>43</v>
      </c>
      <c r="F2" s="2"/>
      <c r="G2" s="2"/>
      <c r="N2" s="30" t="s">
        <v>8</v>
      </c>
      <c r="O2" s="30"/>
      <c r="Q2" s="30" t="s">
        <v>32</v>
      </c>
      <c r="R2" s="30"/>
    </row>
    <row r="3" spans="1:46" ht="13" x14ac:dyDescent="0.3">
      <c r="A3" s="4" t="s">
        <v>5</v>
      </c>
      <c r="B3" s="5">
        <v>430573330</v>
      </c>
      <c r="E3" s="4" t="s">
        <v>44</v>
      </c>
      <c r="G3" s="26">
        <v>1</v>
      </c>
      <c r="N3" s="4" t="s">
        <v>18</v>
      </c>
      <c r="O3" s="5">
        <v>1000000</v>
      </c>
      <c r="Q3" s="4" t="s">
        <v>33</v>
      </c>
      <c r="R3" s="20">
        <v>1.4E-2</v>
      </c>
    </row>
    <row r="4" spans="1:46" ht="13" x14ac:dyDescent="0.3">
      <c r="A4" s="4" t="s">
        <v>0</v>
      </c>
      <c r="B4" s="6">
        <v>0.03</v>
      </c>
      <c r="E4" s="4" t="s">
        <v>45</v>
      </c>
      <c r="G4" s="26">
        <v>0</v>
      </c>
      <c r="N4" s="4" t="s">
        <v>20</v>
      </c>
      <c r="O4" s="5">
        <v>10000000</v>
      </c>
      <c r="Q4" s="4" t="s">
        <v>34</v>
      </c>
      <c r="R4" s="22">
        <f>Y9</f>
        <v>296503100.2472465</v>
      </c>
    </row>
    <row r="5" spans="1:46" ht="13" x14ac:dyDescent="0.3">
      <c r="A5" s="4" t="s">
        <v>7</v>
      </c>
      <c r="B5" s="11">
        <v>5.0000000000000001E-3</v>
      </c>
      <c r="E5" s="4" t="s">
        <v>46</v>
      </c>
      <c r="G5" s="5">
        <v>6</v>
      </c>
      <c r="Q5" s="4" t="s">
        <v>35</v>
      </c>
      <c r="R5" s="22">
        <f>Z9</f>
        <v>134070229.75581352</v>
      </c>
    </row>
    <row r="6" spans="1:46" ht="13" x14ac:dyDescent="0.3">
      <c r="A6" s="4" t="s">
        <v>15</v>
      </c>
      <c r="B6" s="3">
        <v>0</v>
      </c>
      <c r="N6" s="4" t="s">
        <v>22</v>
      </c>
      <c r="O6" s="23">
        <f>AT9</f>
        <v>0</v>
      </c>
      <c r="P6" s="15"/>
      <c r="Q6" s="4" t="s">
        <v>36</v>
      </c>
      <c r="R6" s="22">
        <f>AA9</f>
        <v>430573330.00305986</v>
      </c>
    </row>
    <row r="7" spans="1:46" ht="13" x14ac:dyDescent="0.3">
      <c r="A7" s="4" t="s">
        <v>13</v>
      </c>
      <c r="B7" s="3">
        <f>SUM(W13:W82)</f>
        <v>0</v>
      </c>
    </row>
    <row r="8" spans="1:46" ht="13" x14ac:dyDescent="0.3">
      <c r="A8" s="4" t="s">
        <v>27</v>
      </c>
      <c r="B8" s="3">
        <f>R9</f>
        <v>0</v>
      </c>
      <c r="P8" s="15"/>
    </row>
    <row r="9" spans="1:46" ht="13" thickBot="1" x14ac:dyDescent="0.3">
      <c r="F9" s="24">
        <f>SUM(F13:F72)</f>
        <v>0</v>
      </c>
      <c r="G9" s="24">
        <f>SUM(G13:G72)</f>
        <v>0</v>
      </c>
      <c r="K9" s="10">
        <f>SUM(K13:K82)</f>
        <v>296503100.2472465</v>
      </c>
      <c r="P9" s="10">
        <f t="shared" ref="P9:AA9" si="0">SUM(P13:P82)</f>
        <v>3265233.9690433699</v>
      </c>
      <c r="Q9" s="10">
        <f t="shared" si="0"/>
        <v>3265233.9690433699</v>
      </c>
      <c r="R9" s="10">
        <f t="shared" si="0"/>
        <v>0</v>
      </c>
      <c r="S9" s="10">
        <f t="shared" si="0"/>
        <v>60542302.390447646</v>
      </c>
      <c r="T9" s="10">
        <f t="shared" si="0"/>
        <v>19591403.814260222</v>
      </c>
      <c r="U9" s="10">
        <f t="shared" si="0"/>
        <v>60542302.390447646</v>
      </c>
      <c r="V9" s="10">
        <f t="shared" si="0"/>
        <v>19591403.814260222</v>
      </c>
      <c r="W9" s="10">
        <f t="shared" si="0"/>
        <v>0</v>
      </c>
      <c r="X9" s="10">
        <f t="shared" si="0"/>
        <v>40950898.576187424</v>
      </c>
      <c r="Y9" s="10">
        <f t="shared" si="0"/>
        <v>296503100.2472465</v>
      </c>
      <c r="Z9" s="10">
        <f t="shared" si="0"/>
        <v>134070229.75581352</v>
      </c>
      <c r="AA9" s="10">
        <f t="shared" si="0"/>
        <v>430573330.00305986</v>
      </c>
      <c r="AB9" s="10"/>
      <c r="AC9" s="10">
        <f>SUM(AC13:AC82)</f>
        <v>0</v>
      </c>
      <c r="AD9" s="28"/>
      <c r="AE9" s="28"/>
      <c r="AF9" s="28"/>
      <c r="AG9" s="28"/>
      <c r="AH9" s="28"/>
      <c r="AI9" s="28"/>
      <c r="AJ9" s="10">
        <f>SUM(AJ13:AJ82)</f>
        <v>0</v>
      </c>
      <c r="AK9" s="10">
        <f>SUM(AK13:AK82)</f>
        <v>0</v>
      </c>
      <c r="AL9" s="28"/>
      <c r="AM9" s="10"/>
      <c r="AP9" s="10"/>
      <c r="AQ9" s="10">
        <f>SUM(AQ13:AQ82)</f>
        <v>40950898.576187424</v>
      </c>
      <c r="AR9" s="10">
        <f>SUM(AR13:AR82)</f>
        <v>40950898.576187424</v>
      </c>
      <c r="AS9" s="10"/>
      <c r="AT9" s="10">
        <f>SUM(AT13:AT82)</f>
        <v>0</v>
      </c>
    </row>
    <row r="10" spans="1:46" ht="13.5" thickBot="1" x14ac:dyDescent="0.35">
      <c r="B10" s="31" t="s">
        <v>19</v>
      </c>
      <c r="C10" s="31"/>
      <c r="E10" s="38" t="s">
        <v>39</v>
      </c>
      <c r="F10" s="38"/>
      <c r="G10" s="38"/>
      <c r="P10" s="35" t="s">
        <v>25</v>
      </c>
      <c r="Q10" s="36"/>
      <c r="R10" s="36"/>
      <c r="S10" s="37"/>
      <c r="T10" s="32" t="s">
        <v>16</v>
      </c>
      <c r="U10" s="33"/>
      <c r="V10" s="33"/>
      <c r="W10" s="33"/>
      <c r="X10" s="33"/>
      <c r="Y10" s="33"/>
      <c r="Z10" s="33"/>
      <c r="AA10" s="33"/>
      <c r="AB10" s="34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32" t="s">
        <v>8</v>
      </c>
      <c r="AN10" s="33"/>
      <c r="AO10" s="33"/>
      <c r="AP10" s="33"/>
      <c r="AQ10" s="33"/>
      <c r="AR10" s="33"/>
      <c r="AS10" s="33"/>
      <c r="AT10" s="34"/>
    </row>
    <row r="11" spans="1:46" ht="39" x14ac:dyDescent="0.3">
      <c r="A11" s="2" t="s">
        <v>1</v>
      </c>
      <c r="B11" s="7" t="s">
        <v>3</v>
      </c>
      <c r="C11" s="7" t="s">
        <v>2</v>
      </c>
      <c r="E11" s="7" t="s">
        <v>40</v>
      </c>
      <c r="F11" s="7" t="s">
        <v>41</v>
      </c>
      <c r="G11" s="7" t="s">
        <v>42</v>
      </c>
      <c r="I11" s="13" t="s">
        <v>28</v>
      </c>
      <c r="J11" s="17" t="s">
        <v>29</v>
      </c>
      <c r="K11" s="17" t="s">
        <v>30</v>
      </c>
      <c r="L11" s="17" t="s">
        <v>31</v>
      </c>
      <c r="N11" s="2" t="s">
        <v>1</v>
      </c>
      <c r="O11" s="8" t="s">
        <v>9</v>
      </c>
      <c r="P11" s="12" t="s">
        <v>23</v>
      </c>
      <c r="Q11" s="12" t="s">
        <v>24</v>
      </c>
      <c r="R11" s="12" t="s">
        <v>26</v>
      </c>
      <c r="S11" s="12" t="s">
        <v>17</v>
      </c>
      <c r="T11" s="8" t="s">
        <v>10</v>
      </c>
      <c r="U11" s="8" t="s">
        <v>17</v>
      </c>
      <c r="V11" s="8" t="s">
        <v>11</v>
      </c>
      <c r="W11" s="8" t="s">
        <v>13</v>
      </c>
      <c r="X11" s="8" t="s">
        <v>17</v>
      </c>
      <c r="Y11" s="8" t="s">
        <v>37</v>
      </c>
      <c r="Z11" s="8" t="s">
        <v>38</v>
      </c>
      <c r="AA11" s="8" t="s">
        <v>14</v>
      </c>
      <c r="AB11" s="8" t="s">
        <v>12</v>
      </c>
      <c r="AC11" s="29" t="s">
        <v>49</v>
      </c>
      <c r="AD11" s="29" t="s">
        <v>50</v>
      </c>
      <c r="AE11" s="29" t="s">
        <v>51</v>
      </c>
      <c r="AF11" s="29" t="s">
        <v>50</v>
      </c>
      <c r="AG11" s="29" t="s">
        <v>52</v>
      </c>
      <c r="AH11" s="29" t="s">
        <v>8</v>
      </c>
      <c r="AI11" s="29" t="s">
        <v>53</v>
      </c>
      <c r="AJ11" s="29" t="s">
        <v>54</v>
      </c>
      <c r="AK11" s="29" t="s">
        <v>55</v>
      </c>
      <c r="AL11" s="8" t="s">
        <v>15</v>
      </c>
      <c r="AM11" s="9" t="s">
        <v>4</v>
      </c>
      <c r="AN11" s="9" t="s">
        <v>47</v>
      </c>
      <c r="AO11" s="9" t="s">
        <v>48</v>
      </c>
      <c r="AP11" s="9" t="s">
        <v>20</v>
      </c>
      <c r="AQ11" s="9" t="s">
        <v>17</v>
      </c>
      <c r="AR11" s="9" t="s">
        <v>21</v>
      </c>
      <c r="AS11" s="9" t="s">
        <v>15</v>
      </c>
      <c r="AT11" s="9" t="s">
        <v>22</v>
      </c>
    </row>
    <row r="12" spans="1:46" ht="13" x14ac:dyDescent="0.3">
      <c r="J12" s="27">
        <v>1</v>
      </c>
    </row>
    <row r="13" spans="1:46" ht="14.5" x14ac:dyDescent="0.35">
      <c r="A13" s="1">
        <v>1</v>
      </c>
      <c r="B13" s="3">
        <v>9760926.4007880446</v>
      </c>
      <c r="C13" s="3">
        <v>3510373.6070527602</v>
      </c>
      <c r="E13" s="19">
        <v>0</v>
      </c>
      <c r="I13" s="18">
        <f>$R$3/(1-$R$3*(A13-1))</f>
        <v>1.4E-2</v>
      </c>
      <c r="J13" s="19">
        <f>J12*(1-I13)</f>
        <v>0.98599999999999999</v>
      </c>
      <c r="K13" s="21">
        <f>B13*J12</f>
        <v>9760926.4007880446</v>
      </c>
      <c r="L13" s="21">
        <f>C13*J12</f>
        <v>3510373.6070527602</v>
      </c>
      <c r="N13" s="1">
        <v>1</v>
      </c>
      <c r="O13" s="3">
        <f>B3</f>
        <v>430573330</v>
      </c>
      <c r="P13" s="3">
        <f t="shared" ref="P13:P44" si="1">O13*ServicingFee/12</f>
        <v>179405.55416666667</v>
      </c>
      <c r="Q13" s="3">
        <f>MIN(P13,L13)</f>
        <v>179405.55416666667</v>
      </c>
      <c r="R13" s="3">
        <f>P13-Q13</f>
        <v>0</v>
      </c>
      <c r="S13" s="3">
        <f>L13-Q13</f>
        <v>3330968.0528860935</v>
      </c>
      <c r="T13" s="3">
        <f>O13*(Coupon/12)</f>
        <v>1076433.325</v>
      </c>
      <c r="U13" s="3">
        <f>S13</f>
        <v>3330968.0528860935</v>
      </c>
      <c r="V13" s="3">
        <f>MIN(T13,U13)</f>
        <v>1076433.325</v>
      </c>
      <c r="W13" s="3">
        <f>T13-V13</f>
        <v>0</v>
      </c>
      <c r="X13" s="3">
        <f>MAX(0,U13-V13)</f>
        <v>2254534.7278860938</v>
      </c>
      <c r="Y13" s="3">
        <f>K13</f>
        <v>9760926.4007880446</v>
      </c>
      <c r="Z13" s="3">
        <f>MAX(0,(O13-Y13)*I13)</f>
        <v>5891373.6503889672</v>
      </c>
      <c r="AA13" s="3">
        <f>Y13+Z13</f>
        <v>15652300.051177012</v>
      </c>
      <c r="AB13" s="3">
        <f>MAX(0,O13-AA13)</f>
        <v>414921029.94882298</v>
      </c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>
        <f>O4</f>
        <v>10000000</v>
      </c>
      <c r="AQ13" s="3">
        <f>X13</f>
        <v>2254534.7278860938</v>
      </c>
      <c r="AR13" s="3">
        <f>MIN(AP13-AM13,AQ13)</f>
        <v>2254534.7278860938</v>
      </c>
      <c r="AS13" s="3">
        <f>AM13+AR13</f>
        <v>2254534.7278860938</v>
      </c>
      <c r="AT13" s="3">
        <f>AQ13-AR13</f>
        <v>0</v>
      </c>
    </row>
    <row r="14" spans="1:46" ht="14.5" x14ac:dyDescent="0.35">
      <c r="A14" s="1">
        <v>2</v>
      </c>
      <c r="B14" s="3">
        <v>9840256.9192631133</v>
      </c>
      <c r="C14" s="3">
        <v>3431043.088577772</v>
      </c>
      <c r="E14" s="19">
        <v>2.0000000000000001E-4</v>
      </c>
      <c r="I14" s="18">
        <f>$R$3/(1-$R$3*(A14-1))</f>
        <v>1.4198782961460446E-2</v>
      </c>
      <c r="J14" s="19">
        <f t="shared" ref="J14:J77" si="2">J13*(1-I14)</f>
        <v>0.97199999999999998</v>
      </c>
      <c r="K14" s="21">
        <f t="shared" ref="K14:K77" si="3">B14*J13</f>
        <v>9702493.3223934304</v>
      </c>
      <c r="L14" s="21">
        <f t="shared" ref="L14:L77" si="4">C14*J13</f>
        <v>3383008.485337683</v>
      </c>
      <c r="N14" s="1">
        <v>2</v>
      </c>
      <c r="O14" s="3">
        <f>AB13</f>
        <v>414921029.94882298</v>
      </c>
      <c r="P14" s="3">
        <f t="shared" si="1"/>
        <v>172883.76247867625</v>
      </c>
      <c r="Q14" s="3">
        <f t="shared" ref="Q14:Q77" si="5">MIN(P14,L14)</f>
        <v>172883.76247867625</v>
      </c>
      <c r="R14" s="3">
        <v>0</v>
      </c>
      <c r="S14" s="3">
        <f t="shared" ref="S14:S77" si="6">L14-Q14</f>
        <v>3210124.7228590068</v>
      </c>
      <c r="T14" s="3">
        <f t="shared" ref="T14:T44" si="7">O14*(Coupon/12)</f>
        <v>1037302.5748720574</v>
      </c>
      <c r="U14" s="3">
        <f t="shared" ref="U14:U77" si="8">S14</f>
        <v>3210124.7228590068</v>
      </c>
      <c r="V14" s="3">
        <f t="shared" ref="V14:V77" si="9">MIN(T14,U14)</f>
        <v>1037302.5748720574</v>
      </c>
      <c r="W14" s="3">
        <f t="shared" ref="W14:W77" si="10">T14-V14</f>
        <v>0</v>
      </c>
      <c r="X14" s="3">
        <f t="shared" ref="X14:X77" si="11">MAX(0,U14-V14)</f>
        <v>2172822.1479869494</v>
      </c>
      <c r="Y14" s="3">
        <f t="shared" ref="Y14:Y77" si="12">K14</f>
        <v>9702493.3223934304</v>
      </c>
      <c r="Z14" s="3">
        <f t="shared" ref="Z14:Z77" si="13">MAX(0,(O14-Y14)*I14)</f>
        <v>5753610.0535192834</v>
      </c>
      <c r="AA14" s="3">
        <f t="shared" ref="AA14:AA77" si="14">Y14+Z14</f>
        <v>15456103.375912715</v>
      </c>
      <c r="AB14" s="3">
        <f t="shared" ref="AB14:AB77" si="15">MAX(0,O14-AA14)</f>
        <v>399464926.57291025</v>
      </c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>
        <v>10000000</v>
      </c>
      <c r="AQ14" s="3">
        <f t="shared" ref="AQ14:AQ77" si="16">X14</f>
        <v>2172822.1479869494</v>
      </c>
      <c r="AR14" s="3">
        <f t="shared" ref="AR14:AR77" si="17">MIN(AP14-AM14,AQ14)</f>
        <v>2172822.1479869494</v>
      </c>
      <c r="AS14" s="3">
        <f t="shared" ref="AS14:AS77" si="18">AM14+AR14</f>
        <v>2172822.1479869494</v>
      </c>
      <c r="AT14" s="3">
        <f>AQ14-AR14</f>
        <v>0</v>
      </c>
    </row>
    <row r="15" spans="1:46" ht="14.5" x14ac:dyDescent="0.35">
      <c r="A15" s="1">
        <v>3</v>
      </c>
      <c r="B15" s="3">
        <v>9901632.1463263258</v>
      </c>
      <c r="C15" s="3">
        <v>3351040.7029431947</v>
      </c>
      <c r="E15" s="19">
        <v>6.0000000000000006E-4</v>
      </c>
      <c r="I15" s="18">
        <f t="shared" ref="I15:I78" si="19">$R$3/(1-$R$3*(A15-1))</f>
        <v>1.4403292181069959E-2</v>
      </c>
      <c r="J15" s="19">
        <f t="shared" si="2"/>
        <v>0.95799999999999996</v>
      </c>
      <c r="K15" s="21">
        <f t="shared" si="3"/>
        <v>9624386.4462291878</v>
      </c>
      <c r="L15" s="21">
        <f t="shared" si="4"/>
        <v>3257211.5632607853</v>
      </c>
      <c r="N15" s="1">
        <v>3</v>
      </c>
      <c r="O15" s="3">
        <f t="shared" ref="O15:O78" si="20">AB14</f>
        <v>399464926.57291025</v>
      </c>
      <c r="P15" s="3">
        <f t="shared" si="1"/>
        <v>166443.71940537929</v>
      </c>
      <c r="Q15" s="3">
        <f t="shared" si="5"/>
        <v>166443.71940537929</v>
      </c>
      <c r="R15" s="3">
        <v>0</v>
      </c>
      <c r="S15" s="3">
        <f t="shared" si="6"/>
        <v>3090767.8438554062</v>
      </c>
      <c r="T15" s="3">
        <f t="shared" si="7"/>
        <v>998662.31643227569</v>
      </c>
      <c r="U15" s="3">
        <f t="shared" si="8"/>
        <v>3090767.8438554062</v>
      </c>
      <c r="V15" s="3">
        <f t="shared" si="9"/>
        <v>998662.31643227569</v>
      </c>
      <c r="W15" s="3">
        <f t="shared" si="10"/>
        <v>0</v>
      </c>
      <c r="X15" s="3">
        <f t="shared" si="11"/>
        <v>2092105.5274231303</v>
      </c>
      <c r="Y15" s="3">
        <f t="shared" si="12"/>
        <v>9624386.4462291878</v>
      </c>
      <c r="Z15" s="3">
        <f t="shared" si="13"/>
        <v>5614987.2034707153</v>
      </c>
      <c r="AA15" s="3">
        <f t="shared" si="14"/>
        <v>15239373.649699904</v>
      </c>
      <c r="AB15" s="3">
        <f t="shared" si="15"/>
        <v>384225552.92321032</v>
      </c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>
        <v>10000000</v>
      </c>
      <c r="AQ15" s="3">
        <f t="shared" si="16"/>
        <v>2092105.5274231303</v>
      </c>
      <c r="AR15" s="3">
        <f t="shared" si="17"/>
        <v>2092105.5274231303</v>
      </c>
      <c r="AS15" s="3">
        <f t="shared" si="18"/>
        <v>2092105.5274231303</v>
      </c>
      <c r="AT15" s="3">
        <f t="shared" ref="AT15:AT77" si="21">AQ15-AR15</f>
        <v>0</v>
      </c>
    </row>
    <row r="16" spans="1:46" ht="14.5" x14ac:dyDescent="0.35">
      <c r="A16" s="1">
        <v>4</v>
      </c>
      <c r="B16" s="3">
        <v>9945754.4068952017</v>
      </c>
      <c r="C16" s="3">
        <v>3270493.5474914308</v>
      </c>
      <c r="E16" s="19">
        <v>8.0000000000000004E-4</v>
      </c>
      <c r="I16" s="18">
        <f t="shared" si="19"/>
        <v>1.4613778705636744E-2</v>
      </c>
      <c r="J16" s="19">
        <f t="shared" si="2"/>
        <v>0.94399999999999995</v>
      </c>
      <c r="K16" s="21">
        <f t="shared" si="3"/>
        <v>9528032.7218056023</v>
      </c>
      <c r="L16" s="21">
        <f t="shared" si="4"/>
        <v>3133132.8184967907</v>
      </c>
      <c r="N16" s="1">
        <v>4</v>
      </c>
      <c r="O16" s="3">
        <f t="shared" si="20"/>
        <v>384225552.92321032</v>
      </c>
      <c r="P16" s="3">
        <f t="shared" si="1"/>
        <v>160093.98038467098</v>
      </c>
      <c r="Q16" s="3">
        <f t="shared" si="5"/>
        <v>160093.98038467098</v>
      </c>
      <c r="R16" s="3">
        <v>0</v>
      </c>
      <c r="S16" s="3">
        <f t="shared" si="6"/>
        <v>2973038.8381121196</v>
      </c>
      <c r="T16" s="3">
        <f t="shared" si="7"/>
        <v>960563.88230802584</v>
      </c>
      <c r="U16" s="3">
        <f t="shared" si="8"/>
        <v>2973038.8381121196</v>
      </c>
      <c r="V16" s="3">
        <f t="shared" si="9"/>
        <v>960563.88230802584</v>
      </c>
      <c r="W16" s="3">
        <f t="shared" si="10"/>
        <v>0</v>
      </c>
      <c r="X16" s="3">
        <f t="shared" si="11"/>
        <v>2012474.9558040937</v>
      </c>
      <c r="Y16" s="3">
        <f t="shared" si="12"/>
        <v>9528032.7218056023</v>
      </c>
      <c r="Z16" s="3">
        <f t="shared" si="13"/>
        <v>5475746.6417741813</v>
      </c>
      <c r="AA16" s="3">
        <f t="shared" si="14"/>
        <v>15003779.363579784</v>
      </c>
      <c r="AB16" s="3">
        <f t="shared" si="15"/>
        <v>369221773.55963051</v>
      </c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>
        <v>10000000</v>
      </c>
      <c r="AQ16" s="3">
        <f t="shared" si="16"/>
        <v>2012474.9558040937</v>
      </c>
      <c r="AR16" s="3">
        <f t="shared" si="17"/>
        <v>2012474.9558040937</v>
      </c>
      <c r="AS16" s="3">
        <f t="shared" si="18"/>
        <v>2012474.9558040937</v>
      </c>
      <c r="AT16" s="3">
        <f t="shared" si="21"/>
        <v>0</v>
      </c>
    </row>
    <row r="17" spans="1:48" ht="14.5" x14ac:dyDescent="0.35">
      <c r="A17" s="1">
        <v>5</v>
      </c>
      <c r="B17" s="3">
        <v>9972451.3734951038</v>
      </c>
      <c r="C17" s="3">
        <v>3189530.9995763614</v>
      </c>
      <c r="E17" s="19">
        <v>3.5499999999999998E-3</v>
      </c>
      <c r="I17" s="18">
        <f t="shared" si="19"/>
        <v>1.4830508474576272E-2</v>
      </c>
      <c r="J17" s="19">
        <f t="shared" si="2"/>
        <v>0.92999999999999994</v>
      </c>
      <c r="K17" s="21">
        <f t="shared" si="3"/>
        <v>9413994.0965793766</v>
      </c>
      <c r="L17" s="21">
        <f t="shared" si="4"/>
        <v>3010917.2636000849</v>
      </c>
      <c r="N17" s="1">
        <v>5</v>
      </c>
      <c r="O17" s="3">
        <f t="shared" si="20"/>
        <v>369221773.55963051</v>
      </c>
      <c r="P17" s="3">
        <f t="shared" si="1"/>
        <v>153842.40564984604</v>
      </c>
      <c r="Q17" s="3">
        <f t="shared" si="5"/>
        <v>153842.40564984604</v>
      </c>
      <c r="R17" s="3">
        <v>0</v>
      </c>
      <c r="S17" s="3">
        <f t="shared" si="6"/>
        <v>2857074.857950239</v>
      </c>
      <c r="T17" s="3">
        <f t="shared" si="7"/>
        <v>923054.43389907631</v>
      </c>
      <c r="U17" s="3">
        <f t="shared" si="8"/>
        <v>2857074.857950239</v>
      </c>
      <c r="V17" s="3">
        <f t="shared" si="9"/>
        <v>923054.43389907631</v>
      </c>
      <c r="W17" s="3">
        <f t="shared" si="10"/>
        <v>0</v>
      </c>
      <c r="X17" s="3">
        <f t="shared" si="11"/>
        <v>1934020.4240511628</v>
      </c>
      <c r="Y17" s="3">
        <f t="shared" si="12"/>
        <v>9413994.0965793766</v>
      </c>
      <c r="Z17" s="3">
        <f t="shared" si="13"/>
        <v>5336132.3225452499</v>
      </c>
      <c r="AA17" s="3">
        <f t="shared" si="14"/>
        <v>14750126.419124626</v>
      </c>
      <c r="AB17" s="3">
        <f t="shared" si="15"/>
        <v>354471647.14050591</v>
      </c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>
        <v>10000000</v>
      </c>
      <c r="AQ17" s="3">
        <f t="shared" si="16"/>
        <v>1934020.4240511628</v>
      </c>
      <c r="AR17" s="3">
        <f t="shared" si="17"/>
        <v>1934020.4240511628</v>
      </c>
      <c r="AS17" s="3">
        <f t="shared" si="18"/>
        <v>1934020.4240511628</v>
      </c>
      <c r="AT17" s="3">
        <f t="shared" si="21"/>
        <v>0</v>
      </c>
      <c r="AV17" s="3"/>
    </row>
    <row r="18" spans="1:48" ht="14.5" x14ac:dyDescent="0.35">
      <c r="A18" s="1">
        <v>6</v>
      </c>
      <c r="B18" s="3">
        <v>10002255.352142954</v>
      </c>
      <c r="C18" s="3">
        <v>3108299.5466114325</v>
      </c>
      <c r="E18" s="19">
        <v>9.049999999999999E-3</v>
      </c>
      <c r="I18" s="18">
        <f t="shared" si="19"/>
        <v>1.5053763440860216E-2</v>
      </c>
      <c r="J18" s="19">
        <f t="shared" si="2"/>
        <v>0.91599999999999993</v>
      </c>
      <c r="K18" s="21">
        <f t="shared" si="3"/>
        <v>9302097.4774929471</v>
      </c>
      <c r="L18" s="21">
        <f t="shared" si="4"/>
        <v>2890718.578348632</v>
      </c>
      <c r="N18" s="1">
        <v>6</v>
      </c>
      <c r="O18" s="3">
        <f t="shared" si="20"/>
        <v>354471647.14050591</v>
      </c>
      <c r="P18" s="3">
        <f t="shared" si="1"/>
        <v>147696.51964187747</v>
      </c>
      <c r="Q18" s="3">
        <f t="shared" si="5"/>
        <v>147696.51964187747</v>
      </c>
      <c r="R18" s="3">
        <v>0</v>
      </c>
      <c r="S18" s="3">
        <f t="shared" si="6"/>
        <v>2743022.0587067544</v>
      </c>
      <c r="T18" s="3">
        <f t="shared" si="7"/>
        <v>886179.11785126477</v>
      </c>
      <c r="U18" s="3">
        <f t="shared" si="8"/>
        <v>2743022.0587067544</v>
      </c>
      <c r="V18" s="3">
        <f t="shared" si="9"/>
        <v>886179.11785126477</v>
      </c>
      <c r="W18" s="3">
        <f t="shared" si="10"/>
        <v>0</v>
      </c>
      <c r="X18" s="3">
        <f t="shared" si="11"/>
        <v>1856842.9408554896</v>
      </c>
      <c r="Y18" s="3">
        <f t="shared" si="12"/>
        <v>9302097.4774929471</v>
      </c>
      <c r="Z18" s="3">
        <f t="shared" si="13"/>
        <v>5196100.7476152498</v>
      </c>
      <c r="AA18" s="3">
        <f t="shared" si="14"/>
        <v>14498198.225108197</v>
      </c>
      <c r="AB18" s="3">
        <f t="shared" si="15"/>
        <v>339973448.9153977</v>
      </c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>
        <v>10000000</v>
      </c>
      <c r="AQ18" s="3">
        <f t="shared" si="16"/>
        <v>1856842.9408554896</v>
      </c>
      <c r="AR18" s="3">
        <f t="shared" si="17"/>
        <v>1856842.9408554896</v>
      </c>
      <c r="AS18" s="3">
        <f t="shared" si="18"/>
        <v>1856842.9408554896</v>
      </c>
      <c r="AT18" s="3">
        <f t="shared" si="21"/>
        <v>0</v>
      </c>
      <c r="AU18" s="14"/>
      <c r="AV18" s="3"/>
    </row>
    <row r="19" spans="1:48" ht="14.5" x14ac:dyDescent="0.35">
      <c r="A19" s="1">
        <v>7</v>
      </c>
      <c r="B19" s="3">
        <v>10027511.280700974</v>
      </c>
      <c r="C19" s="3">
        <v>3026769.9073300436</v>
      </c>
      <c r="E19" s="19">
        <v>1.18E-2</v>
      </c>
      <c r="I19" s="18">
        <f t="shared" si="19"/>
        <v>1.5283842794759825E-2</v>
      </c>
      <c r="J19" s="19">
        <f t="shared" si="2"/>
        <v>0.90199999999999991</v>
      </c>
      <c r="K19" s="21">
        <f t="shared" si="3"/>
        <v>9185200.3331220914</v>
      </c>
      <c r="L19" s="21">
        <f t="shared" si="4"/>
        <v>2772521.2351143197</v>
      </c>
      <c r="N19" s="1">
        <v>7</v>
      </c>
      <c r="O19" s="3">
        <f t="shared" si="20"/>
        <v>339973448.9153977</v>
      </c>
      <c r="P19" s="3">
        <f t="shared" si="1"/>
        <v>141655.60371474904</v>
      </c>
      <c r="Q19" s="3">
        <f t="shared" si="5"/>
        <v>141655.60371474904</v>
      </c>
      <c r="R19" s="3">
        <v>0</v>
      </c>
      <c r="S19" s="3">
        <f t="shared" si="6"/>
        <v>2630865.6313995705</v>
      </c>
      <c r="T19" s="3">
        <f t="shared" si="7"/>
        <v>849933.62228849425</v>
      </c>
      <c r="U19" s="3">
        <f t="shared" si="8"/>
        <v>2630865.6313995705</v>
      </c>
      <c r="V19" s="3">
        <f t="shared" si="9"/>
        <v>849933.62228849425</v>
      </c>
      <c r="W19" s="3">
        <f t="shared" si="10"/>
        <v>0</v>
      </c>
      <c r="X19" s="3">
        <f t="shared" si="11"/>
        <v>1780932.0091110761</v>
      </c>
      <c r="Y19" s="3">
        <f t="shared" si="12"/>
        <v>9185200.3331220914</v>
      </c>
      <c r="Z19" s="3">
        <f t="shared" si="13"/>
        <v>5055715.5896854354</v>
      </c>
      <c r="AA19" s="3">
        <f t="shared" si="14"/>
        <v>14240915.922807526</v>
      </c>
      <c r="AB19" s="3">
        <f t="shared" si="15"/>
        <v>325732532.99259019</v>
      </c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>
        <v>10000000</v>
      </c>
      <c r="AQ19" s="3">
        <f t="shared" si="16"/>
        <v>1780932.0091110761</v>
      </c>
      <c r="AR19" s="3">
        <f t="shared" si="17"/>
        <v>1780932.0091110761</v>
      </c>
      <c r="AS19" s="3">
        <f t="shared" si="18"/>
        <v>1780932.0091110761</v>
      </c>
      <c r="AT19" s="3">
        <f t="shared" si="21"/>
        <v>0</v>
      </c>
      <c r="AV19" s="3"/>
    </row>
    <row r="20" spans="1:48" ht="14.5" x14ac:dyDescent="0.35">
      <c r="A20" s="1">
        <v>8</v>
      </c>
      <c r="B20" s="3">
        <v>10054820.859038683</v>
      </c>
      <c r="C20" s="3">
        <v>2944977.5143823777</v>
      </c>
      <c r="E20" s="19">
        <v>1.4725E-2</v>
      </c>
      <c r="I20" s="18">
        <f t="shared" si="19"/>
        <v>1.5521064301552106E-2</v>
      </c>
      <c r="J20" s="19">
        <f t="shared" si="2"/>
        <v>0.8879999999999999</v>
      </c>
      <c r="K20" s="21">
        <f t="shared" si="3"/>
        <v>9069448.4148528911</v>
      </c>
      <c r="L20" s="21">
        <f t="shared" si="4"/>
        <v>2656369.7179729044</v>
      </c>
      <c r="N20" s="1">
        <v>8</v>
      </c>
      <c r="O20" s="3">
        <f t="shared" si="20"/>
        <v>325732532.99259019</v>
      </c>
      <c r="P20" s="3">
        <f t="shared" si="1"/>
        <v>135721.88874691259</v>
      </c>
      <c r="Q20" s="3">
        <f t="shared" si="5"/>
        <v>135721.88874691259</v>
      </c>
      <c r="R20" s="3">
        <v>0</v>
      </c>
      <c r="S20" s="3">
        <f t="shared" si="6"/>
        <v>2520647.8292259919</v>
      </c>
      <c r="T20" s="3">
        <f t="shared" si="7"/>
        <v>814331.33248147555</v>
      </c>
      <c r="U20" s="3">
        <f t="shared" si="8"/>
        <v>2520647.8292259919</v>
      </c>
      <c r="V20" s="3">
        <f t="shared" si="9"/>
        <v>814331.33248147555</v>
      </c>
      <c r="W20" s="3">
        <f t="shared" si="10"/>
        <v>0</v>
      </c>
      <c r="X20" s="3">
        <f t="shared" si="11"/>
        <v>1706316.4967445163</v>
      </c>
      <c r="Y20" s="3">
        <f t="shared" si="12"/>
        <v>9069448.4148528911</v>
      </c>
      <c r="Z20" s="3">
        <f t="shared" si="13"/>
        <v>4914948.0976588931</v>
      </c>
      <c r="AA20" s="3">
        <f t="shared" si="14"/>
        <v>13984396.512511784</v>
      </c>
      <c r="AB20" s="3">
        <f t="shared" si="15"/>
        <v>311748136.4800784</v>
      </c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>
        <v>10000000</v>
      </c>
      <c r="AQ20" s="3">
        <f t="shared" si="16"/>
        <v>1706316.4967445163</v>
      </c>
      <c r="AR20" s="3">
        <f t="shared" si="17"/>
        <v>1706316.4967445163</v>
      </c>
      <c r="AS20" s="3">
        <f t="shared" si="18"/>
        <v>1706316.4967445163</v>
      </c>
      <c r="AT20" s="3">
        <f t="shared" si="21"/>
        <v>0</v>
      </c>
    </row>
    <row r="21" spans="1:48" ht="14.5" x14ac:dyDescent="0.35">
      <c r="A21" s="1">
        <v>9</v>
      </c>
      <c r="B21" s="3">
        <v>10076137.135990338</v>
      </c>
      <c r="C21" s="3">
        <v>2862934.679128319</v>
      </c>
      <c r="E21" s="19">
        <v>2.0575E-2</v>
      </c>
      <c r="I21" s="18">
        <f t="shared" si="19"/>
        <v>1.5765765765765764E-2</v>
      </c>
      <c r="J21" s="19">
        <f t="shared" si="2"/>
        <v>0.874</v>
      </c>
      <c r="K21" s="21">
        <f t="shared" si="3"/>
        <v>8947609.7767594196</v>
      </c>
      <c r="L21" s="21">
        <f t="shared" si="4"/>
        <v>2542285.9950659471</v>
      </c>
      <c r="N21" s="1">
        <v>9</v>
      </c>
      <c r="O21" s="3">
        <f t="shared" si="20"/>
        <v>311748136.4800784</v>
      </c>
      <c r="P21" s="3">
        <f t="shared" si="1"/>
        <v>129895.05686669935</v>
      </c>
      <c r="Q21" s="3">
        <f t="shared" si="5"/>
        <v>129895.05686669935</v>
      </c>
      <c r="R21" s="3">
        <v>0</v>
      </c>
      <c r="S21" s="3">
        <f t="shared" si="6"/>
        <v>2412390.9381992477</v>
      </c>
      <c r="T21" s="3">
        <f t="shared" si="7"/>
        <v>779370.34120019607</v>
      </c>
      <c r="U21" s="3">
        <f t="shared" si="8"/>
        <v>2412390.9381992477</v>
      </c>
      <c r="V21" s="3">
        <f t="shared" si="9"/>
        <v>779370.34120019607</v>
      </c>
      <c r="W21" s="3">
        <f t="shared" si="10"/>
        <v>0</v>
      </c>
      <c r="X21" s="3">
        <f t="shared" si="11"/>
        <v>1633020.5969990515</v>
      </c>
      <c r="Y21" s="3">
        <f t="shared" si="12"/>
        <v>8947609.7767594196</v>
      </c>
      <c r="Z21" s="3">
        <f t="shared" si="13"/>
        <v>4773882.177755028</v>
      </c>
      <c r="AA21" s="3">
        <f t="shared" si="14"/>
        <v>13721491.954514448</v>
      </c>
      <c r="AB21" s="3">
        <f t="shared" si="15"/>
        <v>298026644.52556396</v>
      </c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>
        <v>10000000</v>
      </c>
      <c r="AQ21" s="3">
        <f t="shared" si="16"/>
        <v>1633020.5969990515</v>
      </c>
      <c r="AR21" s="3">
        <f t="shared" si="17"/>
        <v>1633020.5969990515</v>
      </c>
      <c r="AS21" s="3">
        <f t="shared" si="18"/>
        <v>1633020.5969990515</v>
      </c>
      <c r="AT21" s="3">
        <f t="shared" si="21"/>
        <v>0</v>
      </c>
    </row>
    <row r="22" spans="1:48" ht="14.5" x14ac:dyDescent="0.35">
      <c r="A22" s="1">
        <v>10</v>
      </c>
      <c r="B22" s="3">
        <v>10108884.72864821</v>
      </c>
      <c r="C22" s="3">
        <v>2780690.3386119111</v>
      </c>
      <c r="E22" s="19">
        <v>2.35E-2</v>
      </c>
      <c r="I22" s="18">
        <f t="shared" si="19"/>
        <v>1.6018306636155607E-2</v>
      </c>
      <c r="J22" s="19">
        <f t="shared" si="2"/>
        <v>0.8600000000000001</v>
      </c>
      <c r="K22" s="21">
        <f t="shared" si="3"/>
        <v>8835165.2528385352</v>
      </c>
      <c r="L22" s="21">
        <f t="shared" si="4"/>
        <v>2430323.3559468105</v>
      </c>
      <c r="N22" s="1">
        <v>10</v>
      </c>
      <c r="O22" s="3">
        <f t="shared" si="20"/>
        <v>298026644.52556396</v>
      </c>
      <c r="P22" s="3">
        <f t="shared" si="1"/>
        <v>124177.76855231832</v>
      </c>
      <c r="Q22" s="3">
        <f t="shared" si="5"/>
        <v>124177.76855231832</v>
      </c>
      <c r="R22" s="3">
        <v>0</v>
      </c>
      <c r="S22" s="3">
        <f t="shared" si="6"/>
        <v>2306145.5873944922</v>
      </c>
      <c r="T22" s="3">
        <f t="shared" si="7"/>
        <v>745066.61131390987</v>
      </c>
      <c r="U22" s="3">
        <f t="shared" si="8"/>
        <v>2306145.5873944922</v>
      </c>
      <c r="V22" s="3">
        <f t="shared" si="9"/>
        <v>745066.61131390987</v>
      </c>
      <c r="W22" s="3">
        <f t="shared" si="10"/>
        <v>0</v>
      </c>
      <c r="X22" s="3">
        <f t="shared" si="11"/>
        <v>1561078.9760805825</v>
      </c>
      <c r="Y22" s="3">
        <f t="shared" si="12"/>
        <v>8835165.2528385352</v>
      </c>
      <c r="Z22" s="3">
        <f t="shared" si="13"/>
        <v>4632357.7915539537</v>
      </c>
      <c r="AA22" s="3">
        <f t="shared" si="14"/>
        <v>13467523.044392489</v>
      </c>
      <c r="AB22" s="3">
        <f t="shared" si="15"/>
        <v>284559121.48117149</v>
      </c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>
        <v>10000000</v>
      </c>
      <c r="AQ22" s="3">
        <f t="shared" si="16"/>
        <v>1561078.9760805825</v>
      </c>
      <c r="AR22" s="3">
        <f t="shared" si="17"/>
        <v>1561078.9760805825</v>
      </c>
      <c r="AS22" s="3">
        <f t="shared" si="18"/>
        <v>1561078.9760805825</v>
      </c>
      <c r="AT22" s="3">
        <f t="shared" si="21"/>
        <v>0</v>
      </c>
    </row>
    <row r="23" spans="1:48" ht="14.5" x14ac:dyDescent="0.35">
      <c r="A23" s="1">
        <v>11</v>
      </c>
      <c r="B23" s="3">
        <v>10136877.504230423</v>
      </c>
      <c r="C23" s="3">
        <v>2698155.7389953942</v>
      </c>
      <c r="E23" s="19">
        <v>2.7E-2</v>
      </c>
      <c r="I23" s="18">
        <f t="shared" si="19"/>
        <v>1.627906976744186E-2</v>
      </c>
      <c r="J23" s="19">
        <f t="shared" si="2"/>
        <v>0.84600000000000009</v>
      </c>
      <c r="K23" s="21">
        <f t="shared" si="3"/>
        <v>8717714.6536381654</v>
      </c>
      <c r="L23" s="21">
        <f t="shared" si="4"/>
        <v>2320413.9355360391</v>
      </c>
      <c r="N23" s="1">
        <v>11</v>
      </c>
      <c r="O23" s="3">
        <f t="shared" si="20"/>
        <v>284559121.48117149</v>
      </c>
      <c r="P23" s="3">
        <f t="shared" si="1"/>
        <v>118566.30061715479</v>
      </c>
      <c r="Q23" s="3">
        <f t="shared" si="5"/>
        <v>118566.30061715479</v>
      </c>
      <c r="R23" s="3">
        <v>0</v>
      </c>
      <c r="S23" s="3">
        <f t="shared" si="6"/>
        <v>2201847.6349188844</v>
      </c>
      <c r="T23" s="3">
        <f t="shared" si="7"/>
        <v>711397.80370292871</v>
      </c>
      <c r="U23" s="3">
        <f t="shared" si="8"/>
        <v>2201847.6349188844</v>
      </c>
      <c r="V23" s="3">
        <f t="shared" si="9"/>
        <v>711397.80370292871</v>
      </c>
      <c r="W23" s="3">
        <f t="shared" si="10"/>
        <v>0</v>
      </c>
      <c r="X23" s="3">
        <f t="shared" si="11"/>
        <v>1490449.8312159558</v>
      </c>
      <c r="Y23" s="3">
        <f t="shared" si="12"/>
        <v>8717714.6536381654</v>
      </c>
      <c r="Z23" s="3">
        <f t="shared" si="13"/>
        <v>4490441.5064947279</v>
      </c>
      <c r="AA23" s="3">
        <f t="shared" si="14"/>
        <v>13208156.160132892</v>
      </c>
      <c r="AB23" s="3">
        <f t="shared" si="15"/>
        <v>271350965.3210386</v>
      </c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>
        <v>10000000</v>
      </c>
      <c r="AQ23" s="3">
        <f t="shared" si="16"/>
        <v>1490449.8312159558</v>
      </c>
      <c r="AR23" s="3">
        <f t="shared" si="17"/>
        <v>1490449.8312159558</v>
      </c>
      <c r="AS23" s="3">
        <f t="shared" si="18"/>
        <v>1490449.8312159558</v>
      </c>
      <c r="AT23" s="3">
        <f t="shared" si="21"/>
        <v>0</v>
      </c>
    </row>
    <row r="24" spans="1:48" ht="14.5" x14ac:dyDescent="0.35">
      <c r="A24" s="1">
        <v>12</v>
      </c>
      <c r="B24" s="3">
        <v>10143912.505192818</v>
      </c>
      <c r="C24" s="3">
        <v>2615374.7762873294</v>
      </c>
      <c r="E24" s="19">
        <v>3.4000000000000002E-2</v>
      </c>
      <c r="I24" s="18">
        <f t="shared" si="19"/>
        <v>1.6548463356973995E-2</v>
      </c>
      <c r="J24" s="19">
        <f t="shared" si="2"/>
        <v>0.83200000000000007</v>
      </c>
      <c r="K24" s="21">
        <f t="shared" si="3"/>
        <v>8581749.9793931246</v>
      </c>
      <c r="L24" s="21">
        <f t="shared" si="4"/>
        <v>2212607.0607390809</v>
      </c>
      <c r="N24" s="1">
        <v>12</v>
      </c>
      <c r="O24" s="3">
        <f t="shared" si="20"/>
        <v>271350965.3210386</v>
      </c>
      <c r="P24" s="3">
        <f t="shared" si="1"/>
        <v>113062.90221709943</v>
      </c>
      <c r="Q24" s="3">
        <f t="shared" si="5"/>
        <v>113062.90221709943</v>
      </c>
      <c r="R24" s="3">
        <v>0</v>
      </c>
      <c r="S24" s="3">
        <f t="shared" si="6"/>
        <v>2099544.1585219814</v>
      </c>
      <c r="T24" s="3">
        <f t="shared" si="7"/>
        <v>678377.41330259654</v>
      </c>
      <c r="U24" s="3">
        <f t="shared" si="8"/>
        <v>2099544.1585219814</v>
      </c>
      <c r="V24" s="3">
        <f t="shared" si="9"/>
        <v>678377.41330259654</v>
      </c>
      <c r="W24" s="3">
        <f t="shared" si="10"/>
        <v>0</v>
      </c>
      <c r="X24" s="3">
        <f t="shared" si="11"/>
        <v>1421166.7452193848</v>
      </c>
      <c r="Y24" s="3">
        <f t="shared" si="12"/>
        <v>8581749.9793931246</v>
      </c>
      <c r="Z24" s="3">
        <f t="shared" si="13"/>
        <v>4348426.7314220294</v>
      </c>
      <c r="AA24" s="3">
        <f t="shared" si="14"/>
        <v>12930176.710815154</v>
      </c>
      <c r="AB24" s="3">
        <f t="shared" si="15"/>
        <v>258420788.61022344</v>
      </c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>
        <v>10000000</v>
      </c>
      <c r="AQ24" s="3">
        <f t="shared" si="16"/>
        <v>1421166.7452193848</v>
      </c>
      <c r="AR24" s="3">
        <f t="shared" si="17"/>
        <v>1421166.7452193848</v>
      </c>
      <c r="AS24" s="3">
        <f t="shared" si="18"/>
        <v>1421166.7452193848</v>
      </c>
      <c r="AT24" s="3">
        <f t="shared" si="21"/>
        <v>0</v>
      </c>
    </row>
    <row r="25" spans="1:48" ht="14.5" x14ac:dyDescent="0.35">
      <c r="A25" s="1">
        <v>13</v>
      </c>
      <c r="B25" s="3">
        <v>10147067.653684454</v>
      </c>
      <c r="C25" s="3">
        <v>2532537.5284529938</v>
      </c>
      <c r="E25" s="19">
        <v>3.7499999999999999E-2</v>
      </c>
      <c r="I25" s="18">
        <f t="shared" si="19"/>
        <v>1.682692307692308E-2</v>
      </c>
      <c r="J25" s="19">
        <f t="shared" si="2"/>
        <v>0.81800000000000006</v>
      </c>
      <c r="K25" s="21">
        <f t="shared" si="3"/>
        <v>8442360.2878654674</v>
      </c>
      <c r="L25" s="21">
        <f t="shared" si="4"/>
        <v>2107071.223672891</v>
      </c>
      <c r="N25" s="1">
        <v>13</v>
      </c>
      <c r="O25" s="3">
        <f t="shared" si="20"/>
        <v>258420788.61022344</v>
      </c>
      <c r="P25" s="3">
        <f t="shared" si="1"/>
        <v>107675.3285875931</v>
      </c>
      <c r="Q25" s="3">
        <f t="shared" si="5"/>
        <v>107675.3285875931</v>
      </c>
      <c r="R25" s="3">
        <v>0</v>
      </c>
      <c r="S25" s="3">
        <f t="shared" si="6"/>
        <v>1999395.895085298</v>
      </c>
      <c r="T25" s="3">
        <f t="shared" si="7"/>
        <v>646051.97152555862</v>
      </c>
      <c r="U25" s="3">
        <f t="shared" si="8"/>
        <v>1999395.895085298</v>
      </c>
      <c r="V25" s="3">
        <f t="shared" si="9"/>
        <v>646051.97152555862</v>
      </c>
      <c r="W25" s="3">
        <f t="shared" si="10"/>
        <v>0</v>
      </c>
      <c r="X25" s="3">
        <f t="shared" si="11"/>
        <v>1353343.9235597393</v>
      </c>
      <c r="Y25" s="3">
        <f t="shared" si="12"/>
        <v>8442360.2878654674</v>
      </c>
      <c r="Z25" s="3">
        <f t="shared" si="13"/>
        <v>4206367.7842704477</v>
      </c>
      <c r="AA25" s="3">
        <f t="shared" si="14"/>
        <v>12648728.072135914</v>
      </c>
      <c r="AB25" s="3">
        <f t="shared" si="15"/>
        <v>245772060.53808752</v>
      </c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>
        <v>10000000</v>
      </c>
      <c r="AQ25" s="3">
        <f t="shared" si="16"/>
        <v>1353343.9235597393</v>
      </c>
      <c r="AR25" s="3">
        <f t="shared" si="17"/>
        <v>1353343.9235597393</v>
      </c>
      <c r="AS25" s="3">
        <f t="shared" si="18"/>
        <v>1353343.9235597393</v>
      </c>
      <c r="AT25" s="3">
        <f t="shared" si="21"/>
        <v>0</v>
      </c>
    </row>
    <row r="26" spans="1:48" ht="14.5" x14ac:dyDescent="0.35">
      <c r="A26" s="1">
        <v>14</v>
      </c>
      <c r="B26" s="3">
        <v>10144706.997950362</v>
      </c>
      <c r="C26" s="3">
        <v>2449665.3246066673</v>
      </c>
      <c r="E26" s="19">
        <v>4.0375000000000001E-2</v>
      </c>
      <c r="I26" s="18">
        <f t="shared" si="19"/>
        <v>1.7114914425427872E-2</v>
      </c>
      <c r="J26" s="19">
        <f t="shared" si="2"/>
        <v>0.80400000000000005</v>
      </c>
      <c r="K26" s="21">
        <f t="shared" si="3"/>
        <v>8298370.3243233971</v>
      </c>
      <c r="L26" s="21">
        <f t="shared" si="4"/>
        <v>2003826.235528254</v>
      </c>
      <c r="N26" s="1">
        <v>14</v>
      </c>
      <c r="O26" s="3">
        <f t="shared" si="20"/>
        <v>245772060.53808752</v>
      </c>
      <c r="P26" s="3">
        <f t="shared" si="1"/>
        <v>102405.02522420313</v>
      </c>
      <c r="Q26" s="3">
        <f t="shared" si="5"/>
        <v>102405.02522420313</v>
      </c>
      <c r="R26" s="3">
        <v>0</v>
      </c>
      <c r="S26" s="3">
        <f t="shared" si="6"/>
        <v>1901421.2103040507</v>
      </c>
      <c r="T26" s="3">
        <f t="shared" si="7"/>
        <v>614430.15134521876</v>
      </c>
      <c r="U26" s="3">
        <f t="shared" si="8"/>
        <v>1901421.2103040507</v>
      </c>
      <c r="V26" s="3">
        <f t="shared" si="9"/>
        <v>614430.15134521876</v>
      </c>
      <c r="W26" s="3">
        <f t="shared" si="10"/>
        <v>0</v>
      </c>
      <c r="X26" s="3">
        <f t="shared" si="11"/>
        <v>1286991.0589588319</v>
      </c>
      <c r="Y26" s="3">
        <f t="shared" si="12"/>
        <v>8298370.3243233971</v>
      </c>
      <c r="Z26" s="3">
        <f t="shared" si="13"/>
        <v>4064341.8862991412</v>
      </c>
      <c r="AA26" s="3">
        <f t="shared" si="14"/>
        <v>12362712.210622538</v>
      </c>
      <c r="AB26" s="3">
        <f t="shared" si="15"/>
        <v>233409348.32746497</v>
      </c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>
        <v>10000000</v>
      </c>
      <c r="AQ26" s="3">
        <f t="shared" si="16"/>
        <v>1286991.0589588319</v>
      </c>
      <c r="AR26" s="3">
        <f t="shared" si="17"/>
        <v>1286991.0589588319</v>
      </c>
      <c r="AS26" s="3">
        <f t="shared" si="18"/>
        <v>1286991.0589588319</v>
      </c>
      <c r="AT26" s="3">
        <f t="shared" si="21"/>
        <v>0</v>
      </c>
    </row>
    <row r="27" spans="1:48" ht="14.5" x14ac:dyDescent="0.35">
      <c r="A27" s="1">
        <v>15</v>
      </c>
      <c r="B27" s="3">
        <v>10141116.090798525</v>
      </c>
      <c r="C27" s="3">
        <v>2366798.7972836052</v>
      </c>
      <c r="E27" s="19">
        <v>4.6124999999999999E-2</v>
      </c>
      <c r="I27" s="18">
        <f t="shared" si="19"/>
        <v>1.7412935323383085E-2</v>
      </c>
      <c r="J27" s="19">
        <f t="shared" si="2"/>
        <v>0.79</v>
      </c>
      <c r="K27" s="21">
        <f t="shared" si="3"/>
        <v>8153457.3370020147</v>
      </c>
      <c r="L27" s="21">
        <f t="shared" si="4"/>
        <v>1902906.2330160188</v>
      </c>
      <c r="N27" s="1">
        <v>15</v>
      </c>
      <c r="O27" s="3">
        <f t="shared" si="20"/>
        <v>233409348.32746497</v>
      </c>
      <c r="P27" s="3">
        <f t="shared" si="1"/>
        <v>97253.895136443738</v>
      </c>
      <c r="Q27" s="3">
        <f t="shared" si="5"/>
        <v>97253.895136443738</v>
      </c>
      <c r="R27" s="3">
        <v>0</v>
      </c>
      <c r="S27" s="3">
        <f t="shared" si="6"/>
        <v>1805652.3378795751</v>
      </c>
      <c r="T27" s="3">
        <f t="shared" si="7"/>
        <v>583523.37081866246</v>
      </c>
      <c r="U27" s="3">
        <f t="shared" si="8"/>
        <v>1805652.3378795751</v>
      </c>
      <c r="V27" s="3">
        <f t="shared" si="9"/>
        <v>583523.37081866246</v>
      </c>
      <c r="W27" s="3">
        <f t="shared" si="10"/>
        <v>0</v>
      </c>
      <c r="X27" s="3">
        <f t="shared" si="11"/>
        <v>1222128.9670609126</v>
      </c>
      <c r="Y27" s="3">
        <f t="shared" si="12"/>
        <v>8153457.3370020147</v>
      </c>
      <c r="Z27" s="3">
        <f t="shared" si="13"/>
        <v>3922366.261027962</v>
      </c>
      <c r="AA27" s="3">
        <f t="shared" si="14"/>
        <v>12075823.598029977</v>
      </c>
      <c r="AB27" s="3">
        <f t="shared" si="15"/>
        <v>221333524.729435</v>
      </c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>
        <v>10000000</v>
      </c>
      <c r="AQ27" s="3">
        <f t="shared" si="16"/>
        <v>1222128.9670609126</v>
      </c>
      <c r="AR27" s="3">
        <f t="shared" si="17"/>
        <v>1222128.9670609126</v>
      </c>
      <c r="AS27" s="3">
        <f t="shared" si="18"/>
        <v>1222128.9670609126</v>
      </c>
      <c r="AT27" s="3">
        <f t="shared" si="21"/>
        <v>0</v>
      </c>
    </row>
    <row r="28" spans="1:48" ht="14.5" x14ac:dyDescent="0.35">
      <c r="A28" s="1">
        <v>16</v>
      </c>
      <c r="B28" s="3">
        <v>10128904.42618243</v>
      </c>
      <c r="C28" s="3">
        <v>2283966.2788879192</v>
      </c>
      <c r="E28" s="19">
        <v>4.9000000000000002E-2</v>
      </c>
      <c r="I28" s="18">
        <f t="shared" si="19"/>
        <v>1.7721518987341773E-2</v>
      </c>
      <c r="J28" s="19">
        <f t="shared" si="2"/>
        <v>0.77600000000000002</v>
      </c>
      <c r="K28" s="21">
        <f t="shared" si="3"/>
        <v>8001834.49668412</v>
      </c>
      <c r="L28" s="21">
        <f t="shared" si="4"/>
        <v>1804333.3603214561</v>
      </c>
      <c r="N28" s="1">
        <v>16</v>
      </c>
      <c r="O28" s="3">
        <f t="shared" si="20"/>
        <v>221333524.729435</v>
      </c>
      <c r="P28" s="3">
        <f t="shared" si="1"/>
        <v>92222.301970597924</v>
      </c>
      <c r="Q28" s="3">
        <f t="shared" si="5"/>
        <v>92222.301970597924</v>
      </c>
      <c r="R28" s="3">
        <v>0</v>
      </c>
      <c r="S28" s="3">
        <f t="shared" si="6"/>
        <v>1712111.0583508583</v>
      </c>
      <c r="T28" s="3">
        <f t="shared" si="7"/>
        <v>553333.81182358752</v>
      </c>
      <c r="U28" s="3">
        <f t="shared" si="8"/>
        <v>1712111.0583508583</v>
      </c>
      <c r="V28" s="3">
        <f t="shared" si="9"/>
        <v>553333.81182358752</v>
      </c>
      <c r="W28" s="3">
        <f t="shared" si="10"/>
        <v>0</v>
      </c>
      <c r="X28" s="3">
        <f t="shared" si="11"/>
        <v>1158777.2465272709</v>
      </c>
      <c r="Y28" s="3">
        <f t="shared" si="12"/>
        <v>8001834.49668412</v>
      </c>
      <c r="Z28" s="3">
        <f t="shared" si="13"/>
        <v>3780561.5990614081</v>
      </c>
      <c r="AA28" s="3">
        <f t="shared" si="14"/>
        <v>11782396.095745528</v>
      </c>
      <c r="AB28" s="3">
        <f t="shared" si="15"/>
        <v>209551128.63368946</v>
      </c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>
        <v>10000000</v>
      </c>
      <c r="AQ28" s="3">
        <f t="shared" si="16"/>
        <v>1158777.2465272709</v>
      </c>
      <c r="AR28" s="3">
        <f t="shared" si="17"/>
        <v>1158777.2465272709</v>
      </c>
      <c r="AS28" s="3">
        <f t="shared" si="18"/>
        <v>1158777.2465272709</v>
      </c>
      <c r="AT28" s="3">
        <f t="shared" si="21"/>
        <v>0</v>
      </c>
    </row>
    <row r="29" spans="1:48" ht="14.5" x14ac:dyDescent="0.35">
      <c r="A29" s="1">
        <v>17</v>
      </c>
      <c r="B29" s="3">
        <v>10078389.447148249</v>
      </c>
      <c r="C29" s="3">
        <v>2201217.170517182</v>
      </c>
      <c r="E29" s="19">
        <v>5.1875000000000004E-2</v>
      </c>
      <c r="I29" s="18">
        <f t="shared" si="19"/>
        <v>1.804123711340206E-2</v>
      </c>
      <c r="J29" s="19">
        <f t="shared" si="2"/>
        <v>0.76200000000000001</v>
      </c>
      <c r="K29" s="21">
        <f t="shared" si="3"/>
        <v>7820830.2109870408</v>
      </c>
      <c r="L29" s="21">
        <f t="shared" si="4"/>
        <v>1708144.5243213333</v>
      </c>
      <c r="N29" s="1">
        <v>17</v>
      </c>
      <c r="O29" s="3">
        <f t="shared" si="20"/>
        <v>209551128.63368946</v>
      </c>
      <c r="P29" s="3">
        <f t="shared" si="1"/>
        <v>87312.970264037271</v>
      </c>
      <c r="Q29" s="3">
        <f t="shared" si="5"/>
        <v>87312.970264037271</v>
      </c>
      <c r="R29" s="3">
        <v>0</v>
      </c>
      <c r="S29" s="3">
        <f t="shared" si="6"/>
        <v>1620831.5540572959</v>
      </c>
      <c r="T29" s="3">
        <f t="shared" si="7"/>
        <v>523877.82158422365</v>
      </c>
      <c r="U29" s="3">
        <f t="shared" si="8"/>
        <v>1620831.5540572959</v>
      </c>
      <c r="V29" s="3">
        <f t="shared" si="9"/>
        <v>523877.82158422365</v>
      </c>
      <c r="W29" s="3">
        <f t="shared" si="10"/>
        <v>0</v>
      </c>
      <c r="X29" s="3">
        <f t="shared" si="11"/>
        <v>1096953.7324730721</v>
      </c>
      <c r="Y29" s="3">
        <f t="shared" si="12"/>
        <v>7820830.2109870408</v>
      </c>
      <c r="Z29" s="3">
        <f t="shared" si="13"/>
        <v>3639464.146801332</v>
      </c>
      <c r="AA29" s="3">
        <f t="shared" si="14"/>
        <v>11460294.357788373</v>
      </c>
      <c r="AB29" s="3">
        <f t="shared" si="15"/>
        <v>198090834.27590108</v>
      </c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>
        <v>10000000</v>
      </c>
      <c r="AQ29" s="3">
        <f t="shared" si="16"/>
        <v>1096953.7324730721</v>
      </c>
      <c r="AR29" s="3">
        <f t="shared" si="17"/>
        <v>1096953.7324730721</v>
      </c>
      <c r="AS29" s="3">
        <f t="shared" si="18"/>
        <v>1096953.7324730721</v>
      </c>
      <c r="AT29" s="3">
        <f t="shared" si="21"/>
        <v>0</v>
      </c>
    </row>
    <row r="30" spans="1:48" ht="14.5" x14ac:dyDescent="0.35">
      <c r="A30" s="1">
        <v>18</v>
      </c>
      <c r="B30" s="3">
        <v>9996456.6877981704</v>
      </c>
      <c r="C30" s="3">
        <v>2118848.5602015969</v>
      </c>
      <c r="E30" s="19">
        <v>5.7625000000000003E-2</v>
      </c>
      <c r="I30" s="18">
        <f t="shared" si="19"/>
        <v>1.8372703412073491E-2</v>
      </c>
      <c r="J30" s="19">
        <f t="shared" si="2"/>
        <v>0.748</v>
      </c>
      <c r="K30" s="21">
        <f t="shared" si="3"/>
        <v>7617299.9961022055</v>
      </c>
      <c r="L30" s="21">
        <f t="shared" si="4"/>
        <v>1614562.6028736169</v>
      </c>
      <c r="N30" s="1">
        <v>18</v>
      </c>
      <c r="O30" s="3">
        <f t="shared" si="20"/>
        <v>198090834.27590108</v>
      </c>
      <c r="P30" s="3">
        <f t="shared" si="1"/>
        <v>82537.84761495878</v>
      </c>
      <c r="Q30" s="3">
        <f t="shared" si="5"/>
        <v>82537.84761495878</v>
      </c>
      <c r="R30" s="3">
        <v>0</v>
      </c>
      <c r="S30" s="3">
        <f t="shared" si="6"/>
        <v>1532024.755258658</v>
      </c>
      <c r="T30" s="3">
        <f t="shared" si="7"/>
        <v>495227.08568975271</v>
      </c>
      <c r="U30" s="3">
        <f t="shared" si="8"/>
        <v>1532024.755258658</v>
      </c>
      <c r="V30" s="3">
        <f t="shared" si="9"/>
        <v>495227.08568975271</v>
      </c>
      <c r="W30" s="3">
        <f t="shared" si="10"/>
        <v>0</v>
      </c>
      <c r="X30" s="3">
        <f t="shared" si="11"/>
        <v>1036797.6695689053</v>
      </c>
      <c r="Y30" s="3">
        <f t="shared" si="12"/>
        <v>7617299.9961022055</v>
      </c>
      <c r="Z30" s="3">
        <f t="shared" si="13"/>
        <v>3499513.7531721578</v>
      </c>
      <c r="AA30" s="3">
        <f t="shared" si="14"/>
        <v>11116813.749274364</v>
      </c>
      <c r="AB30" s="3">
        <f t="shared" si="15"/>
        <v>186974020.52662671</v>
      </c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>
        <v>10000000</v>
      </c>
      <c r="AQ30" s="3">
        <f t="shared" si="16"/>
        <v>1036797.6695689053</v>
      </c>
      <c r="AR30" s="3">
        <f t="shared" si="17"/>
        <v>1036797.6695689053</v>
      </c>
      <c r="AS30" s="3">
        <f t="shared" si="18"/>
        <v>1036797.6695689053</v>
      </c>
      <c r="AT30" s="3">
        <f t="shared" si="21"/>
        <v>0</v>
      </c>
    </row>
    <row r="31" spans="1:48" ht="14.5" x14ac:dyDescent="0.35">
      <c r="A31" s="1">
        <v>19</v>
      </c>
      <c r="B31" s="3">
        <v>9933476.6156950966</v>
      </c>
      <c r="C31" s="3">
        <v>2037103.5611643575</v>
      </c>
      <c r="E31" s="19">
        <v>6.0499999999999998E-2</v>
      </c>
      <c r="I31" s="18">
        <f t="shared" si="19"/>
        <v>1.8716577540106954E-2</v>
      </c>
      <c r="J31" s="19">
        <f t="shared" si="2"/>
        <v>0.73399999999999999</v>
      </c>
      <c r="K31" s="21">
        <f t="shared" si="3"/>
        <v>7430240.5085399318</v>
      </c>
      <c r="L31" s="21">
        <f t="shared" si="4"/>
        <v>1523753.4637509394</v>
      </c>
      <c r="N31" s="1">
        <v>19</v>
      </c>
      <c r="O31" s="3">
        <f t="shared" si="20"/>
        <v>186974020.52662671</v>
      </c>
      <c r="P31" s="3">
        <f t="shared" si="1"/>
        <v>77905.841886094466</v>
      </c>
      <c r="Q31" s="3">
        <f t="shared" si="5"/>
        <v>77905.841886094466</v>
      </c>
      <c r="R31" s="3">
        <v>0</v>
      </c>
      <c r="S31" s="3">
        <f t="shared" si="6"/>
        <v>1445847.6218648448</v>
      </c>
      <c r="T31" s="3">
        <f t="shared" si="7"/>
        <v>467435.05131656677</v>
      </c>
      <c r="U31" s="3">
        <f t="shared" si="8"/>
        <v>1445847.6218648448</v>
      </c>
      <c r="V31" s="3">
        <f t="shared" si="9"/>
        <v>467435.05131656677</v>
      </c>
      <c r="W31" s="3">
        <f t="shared" si="10"/>
        <v>0</v>
      </c>
      <c r="X31" s="3">
        <f t="shared" si="11"/>
        <v>978412.57054827805</v>
      </c>
      <c r="Y31" s="3">
        <f t="shared" si="12"/>
        <v>7430240.5085399318</v>
      </c>
      <c r="Z31" s="3">
        <f t="shared" si="13"/>
        <v>3360445.0805524262</v>
      </c>
      <c r="AA31" s="3">
        <f t="shared" si="14"/>
        <v>10790685.589092359</v>
      </c>
      <c r="AB31" s="3">
        <f t="shared" si="15"/>
        <v>176183334.93753433</v>
      </c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>
        <v>10000000</v>
      </c>
      <c r="AQ31" s="3">
        <f t="shared" si="16"/>
        <v>978412.57054827805</v>
      </c>
      <c r="AR31" s="3">
        <f t="shared" si="17"/>
        <v>978412.57054827805</v>
      </c>
      <c r="AS31" s="3">
        <f t="shared" si="18"/>
        <v>978412.57054827805</v>
      </c>
      <c r="AT31" s="3">
        <f t="shared" si="21"/>
        <v>0</v>
      </c>
    </row>
    <row r="32" spans="1:48" ht="14.5" x14ac:dyDescent="0.35">
      <c r="A32" s="1">
        <v>20</v>
      </c>
      <c r="B32" s="3">
        <v>9874685.1296449248</v>
      </c>
      <c r="C32" s="3">
        <v>1955844.5189782178</v>
      </c>
      <c r="E32" s="19">
        <v>6.2600000000000003E-2</v>
      </c>
      <c r="I32" s="18">
        <f t="shared" si="19"/>
        <v>1.9073569482288829E-2</v>
      </c>
      <c r="J32" s="19">
        <f t="shared" si="2"/>
        <v>0.72</v>
      </c>
      <c r="K32" s="21">
        <f t="shared" si="3"/>
        <v>7248018.8851593742</v>
      </c>
      <c r="L32" s="21">
        <f t="shared" si="4"/>
        <v>1435589.8769300119</v>
      </c>
      <c r="N32" s="1">
        <v>20</v>
      </c>
      <c r="O32" s="3">
        <f t="shared" si="20"/>
        <v>176183334.93753433</v>
      </c>
      <c r="P32" s="3">
        <f t="shared" si="1"/>
        <v>73409.722890639314</v>
      </c>
      <c r="Q32" s="3">
        <f t="shared" si="5"/>
        <v>73409.722890639314</v>
      </c>
      <c r="R32" s="3">
        <v>0</v>
      </c>
      <c r="S32" s="3">
        <f t="shared" si="6"/>
        <v>1362180.1540393727</v>
      </c>
      <c r="T32" s="3">
        <f t="shared" si="7"/>
        <v>440458.33734383585</v>
      </c>
      <c r="U32" s="3">
        <f t="shared" si="8"/>
        <v>1362180.1540393727</v>
      </c>
      <c r="V32" s="3">
        <f t="shared" si="9"/>
        <v>440458.33734383585</v>
      </c>
      <c r="W32" s="3">
        <f t="shared" si="10"/>
        <v>0</v>
      </c>
      <c r="X32" s="3">
        <f t="shared" si="11"/>
        <v>921721.81669553684</v>
      </c>
      <c r="Y32" s="3">
        <f t="shared" si="12"/>
        <v>7248018.8851593742</v>
      </c>
      <c r="Z32" s="3">
        <f t="shared" si="13"/>
        <v>3222199.4887373974</v>
      </c>
      <c r="AA32" s="3">
        <f t="shared" si="14"/>
        <v>10470218.373896772</v>
      </c>
      <c r="AB32" s="3">
        <f t="shared" si="15"/>
        <v>165713116.56363755</v>
      </c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>
        <v>10000000</v>
      </c>
      <c r="AQ32" s="3">
        <f t="shared" si="16"/>
        <v>921721.81669553684</v>
      </c>
      <c r="AR32" s="3">
        <f t="shared" si="17"/>
        <v>921721.81669553684</v>
      </c>
      <c r="AS32" s="3">
        <f t="shared" si="18"/>
        <v>921721.81669553684</v>
      </c>
      <c r="AT32" s="3">
        <f t="shared" si="21"/>
        <v>0</v>
      </c>
    </row>
    <row r="33" spans="1:46" ht="14.5" x14ac:dyDescent="0.35">
      <c r="A33" s="1">
        <v>21</v>
      </c>
      <c r="B33" s="3">
        <v>9828444.6463909168</v>
      </c>
      <c r="C33" s="3">
        <v>1875044.6724034618</v>
      </c>
      <c r="E33" s="19">
        <v>6.6799999999999998E-2</v>
      </c>
      <c r="I33" s="18">
        <f t="shared" si="19"/>
        <v>1.9444444444444445E-2</v>
      </c>
      <c r="J33" s="19">
        <f t="shared" si="2"/>
        <v>0.70599999999999996</v>
      </c>
      <c r="K33" s="21">
        <f t="shared" si="3"/>
        <v>7076480.1454014601</v>
      </c>
      <c r="L33" s="21">
        <f t="shared" si="4"/>
        <v>1350032.1641304924</v>
      </c>
      <c r="N33" s="1">
        <v>21</v>
      </c>
      <c r="O33" s="3">
        <f t="shared" si="20"/>
        <v>165713116.56363755</v>
      </c>
      <c r="P33" s="3">
        <f t="shared" si="1"/>
        <v>69047.131901515648</v>
      </c>
      <c r="Q33" s="3">
        <f t="shared" si="5"/>
        <v>69047.131901515648</v>
      </c>
      <c r="R33" s="3">
        <v>0</v>
      </c>
      <c r="S33" s="3">
        <f t="shared" si="6"/>
        <v>1280985.0322289767</v>
      </c>
      <c r="T33" s="3">
        <f t="shared" si="7"/>
        <v>414282.79140909389</v>
      </c>
      <c r="U33" s="3">
        <f t="shared" si="8"/>
        <v>1280985.0322289767</v>
      </c>
      <c r="V33" s="3">
        <f t="shared" si="9"/>
        <v>414282.79140909389</v>
      </c>
      <c r="W33" s="3">
        <f t="shared" si="10"/>
        <v>0</v>
      </c>
      <c r="X33" s="3">
        <f t="shared" si="11"/>
        <v>866702.24081988283</v>
      </c>
      <c r="Y33" s="3">
        <f t="shared" si="12"/>
        <v>7076480.1454014601</v>
      </c>
      <c r="Z33" s="3">
        <f t="shared" si="13"/>
        <v>3084601.2636879245</v>
      </c>
      <c r="AA33" s="3">
        <f t="shared" si="14"/>
        <v>10161081.409089385</v>
      </c>
      <c r="AB33" s="3">
        <f t="shared" si="15"/>
        <v>155552035.15454817</v>
      </c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>
        <v>10000000</v>
      </c>
      <c r="AQ33" s="3">
        <f t="shared" si="16"/>
        <v>866702.24081988283</v>
      </c>
      <c r="AR33" s="3">
        <f t="shared" si="17"/>
        <v>866702.24081988283</v>
      </c>
      <c r="AS33" s="3">
        <f t="shared" si="18"/>
        <v>866702.24081988283</v>
      </c>
      <c r="AT33" s="3">
        <f t="shared" si="21"/>
        <v>0</v>
      </c>
    </row>
    <row r="34" spans="1:46" ht="14.5" x14ac:dyDescent="0.35">
      <c r="A34" s="1">
        <v>22</v>
      </c>
      <c r="B34" s="3">
        <v>9779896.3459374197</v>
      </c>
      <c r="C34" s="3">
        <v>1794611.564801859</v>
      </c>
      <c r="E34" s="19">
        <v>6.8900000000000003E-2</v>
      </c>
      <c r="I34" s="18">
        <f t="shared" si="19"/>
        <v>1.9830028328611901E-2</v>
      </c>
      <c r="J34" s="19">
        <f t="shared" si="2"/>
        <v>0.69199999999999995</v>
      </c>
      <c r="K34" s="21">
        <f t="shared" si="3"/>
        <v>6904606.8202318177</v>
      </c>
      <c r="L34" s="21">
        <f t="shared" si="4"/>
        <v>1266995.7647501123</v>
      </c>
      <c r="N34" s="1">
        <v>22</v>
      </c>
      <c r="O34" s="3">
        <f t="shared" si="20"/>
        <v>155552035.15454817</v>
      </c>
      <c r="P34" s="3">
        <f t="shared" si="1"/>
        <v>64813.347981061735</v>
      </c>
      <c r="Q34" s="3">
        <f t="shared" si="5"/>
        <v>64813.347981061735</v>
      </c>
      <c r="R34" s="3">
        <v>0</v>
      </c>
      <c r="S34" s="3">
        <f t="shared" si="6"/>
        <v>1202182.4167690505</v>
      </c>
      <c r="T34" s="3">
        <f t="shared" si="7"/>
        <v>388880.08788637043</v>
      </c>
      <c r="U34" s="3">
        <f t="shared" si="8"/>
        <v>1202182.4167690505</v>
      </c>
      <c r="V34" s="3">
        <f t="shared" si="9"/>
        <v>388880.08788637043</v>
      </c>
      <c r="W34" s="3">
        <f t="shared" si="10"/>
        <v>0</v>
      </c>
      <c r="X34" s="3">
        <f t="shared" si="11"/>
        <v>813302.32888268004</v>
      </c>
      <c r="Y34" s="3">
        <f t="shared" si="12"/>
        <v>6904606.8202318177</v>
      </c>
      <c r="Z34" s="3">
        <f t="shared" si="13"/>
        <v>2947682.7148448005</v>
      </c>
      <c r="AA34" s="3">
        <f t="shared" si="14"/>
        <v>9852289.5350766182</v>
      </c>
      <c r="AB34" s="3">
        <f t="shared" si="15"/>
        <v>145699745.61947155</v>
      </c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>
        <v>10000000</v>
      </c>
      <c r="AQ34" s="3">
        <f t="shared" si="16"/>
        <v>813302.32888268004</v>
      </c>
      <c r="AR34" s="3">
        <f t="shared" si="17"/>
        <v>813302.32888268004</v>
      </c>
      <c r="AS34" s="3">
        <f t="shared" si="18"/>
        <v>813302.32888268004</v>
      </c>
      <c r="AT34" s="3">
        <f t="shared" si="21"/>
        <v>0</v>
      </c>
    </row>
    <row r="35" spans="1:46" ht="14.5" x14ac:dyDescent="0.35">
      <c r="A35" s="1">
        <v>23</v>
      </c>
      <c r="B35" s="3">
        <v>9735402.9939678367</v>
      </c>
      <c r="C35" s="3">
        <v>1714535.2927819849</v>
      </c>
      <c r="E35" s="19">
        <v>7.0449999999999999E-2</v>
      </c>
      <c r="I35" s="18">
        <f t="shared" si="19"/>
        <v>2.023121387283237E-2</v>
      </c>
      <c r="J35" s="19">
        <f t="shared" si="2"/>
        <v>0.67799999999999994</v>
      </c>
      <c r="K35" s="21">
        <f t="shared" si="3"/>
        <v>6736898.8718257425</v>
      </c>
      <c r="L35" s="21">
        <f t="shared" si="4"/>
        <v>1186458.4226051334</v>
      </c>
      <c r="N35" s="1">
        <v>23</v>
      </c>
      <c r="O35" s="3">
        <f t="shared" si="20"/>
        <v>145699745.61947155</v>
      </c>
      <c r="P35" s="3">
        <f t="shared" si="1"/>
        <v>60708.22734144648</v>
      </c>
      <c r="Q35" s="3">
        <f t="shared" si="5"/>
        <v>60708.22734144648</v>
      </c>
      <c r="R35" s="3">
        <v>0</v>
      </c>
      <c r="S35" s="3">
        <f t="shared" si="6"/>
        <v>1125750.1952636868</v>
      </c>
      <c r="T35" s="3">
        <f t="shared" si="7"/>
        <v>364249.36404867889</v>
      </c>
      <c r="U35" s="3">
        <f t="shared" si="8"/>
        <v>1125750.1952636868</v>
      </c>
      <c r="V35" s="3">
        <f t="shared" si="9"/>
        <v>364249.36404867889</v>
      </c>
      <c r="W35" s="3">
        <f t="shared" si="10"/>
        <v>0</v>
      </c>
      <c r="X35" s="3">
        <f t="shared" si="11"/>
        <v>761500.83121500793</v>
      </c>
      <c r="Y35" s="3">
        <f t="shared" si="12"/>
        <v>6736898.8718257425</v>
      </c>
      <c r="Z35" s="3">
        <f t="shared" si="13"/>
        <v>2811387.0729292501</v>
      </c>
      <c r="AA35" s="3">
        <f t="shared" si="14"/>
        <v>9548285.9447549917</v>
      </c>
      <c r="AB35" s="3">
        <f t="shared" si="15"/>
        <v>136151459.67471656</v>
      </c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>
        <v>10000000</v>
      </c>
      <c r="AQ35" s="3">
        <f t="shared" si="16"/>
        <v>761500.83121500793</v>
      </c>
      <c r="AR35" s="3">
        <f t="shared" si="17"/>
        <v>761500.83121500793</v>
      </c>
      <c r="AS35" s="3">
        <f t="shared" si="18"/>
        <v>761500.83121500793</v>
      </c>
      <c r="AT35" s="3">
        <f t="shared" si="21"/>
        <v>0</v>
      </c>
    </row>
    <row r="36" spans="1:46" ht="14.5" x14ac:dyDescent="0.35">
      <c r="A36" s="1">
        <v>24</v>
      </c>
      <c r="B36" s="3">
        <v>9650680.098254418</v>
      </c>
      <c r="C36" s="3">
        <v>1634816.6536003342</v>
      </c>
      <c r="E36" s="19">
        <v>7.3550000000000004E-2</v>
      </c>
      <c r="I36" s="18">
        <f t="shared" si="19"/>
        <v>2.0648967551622422E-2</v>
      </c>
      <c r="J36" s="19">
        <f t="shared" si="2"/>
        <v>0.66399999999999992</v>
      </c>
      <c r="K36" s="21">
        <f t="shared" si="3"/>
        <v>6543161.1066164952</v>
      </c>
      <c r="L36" s="21">
        <f t="shared" si="4"/>
        <v>1108405.6911410266</v>
      </c>
      <c r="N36" s="1">
        <v>24</v>
      </c>
      <c r="O36" s="3">
        <f t="shared" si="20"/>
        <v>136151459.67471656</v>
      </c>
      <c r="P36" s="3">
        <f t="shared" si="1"/>
        <v>56729.774864465231</v>
      </c>
      <c r="Q36" s="3">
        <f t="shared" si="5"/>
        <v>56729.774864465231</v>
      </c>
      <c r="R36" s="3">
        <v>0</v>
      </c>
      <c r="S36" s="3">
        <f t="shared" si="6"/>
        <v>1051675.9162765613</v>
      </c>
      <c r="T36" s="3">
        <f t="shared" si="7"/>
        <v>340378.64918679139</v>
      </c>
      <c r="U36" s="3">
        <f t="shared" si="8"/>
        <v>1051675.9162765613</v>
      </c>
      <c r="V36" s="3">
        <f t="shared" si="9"/>
        <v>340378.64918679139</v>
      </c>
      <c r="W36" s="3">
        <f t="shared" si="10"/>
        <v>0</v>
      </c>
      <c r="X36" s="3">
        <f t="shared" si="11"/>
        <v>711297.26708976994</v>
      </c>
      <c r="Y36" s="3">
        <f t="shared" si="12"/>
        <v>6543161.1066164952</v>
      </c>
      <c r="Z36" s="3">
        <f t="shared" si="13"/>
        <v>2676277.5515536889</v>
      </c>
      <c r="AA36" s="3">
        <f t="shared" si="14"/>
        <v>9219438.6581701841</v>
      </c>
      <c r="AB36" s="3">
        <f t="shared" si="15"/>
        <v>126932021.01654638</v>
      </c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>
        <v>10000000</v>
      </c>
      <c r="AQ36" s="3">
        <f t="shared" si="16"/>
        <v>711297.26708976994</v>
      </c>
      <c r="AR36" s="3">
        <f t="shared" si="17"/>
        <v>711297.26708976994</v>
      </c>
      <c r="AS36" s="3">
        <f t="shared" si="18"/>
        <v>711297.26708976994</v>
      </c>
      <c r="AT36" s="3">
        <f t="shared" si="21"/>
        <v>0</v>
      </c>
    </row>
    <row r="37" spans="1:46" ht="14.5" x14ac:dyDescent="0.35">
      <c r="A37" s="1">
        <v>25</v>
      </c>
      <c r="B37" s="3">
        <v>9549086.5853083767</v>
      </c>
      <c r="C37" s="3">
        <v>1555781.3209947022</v>
      </c>
      <c r="E37" s="19">
        <v>7.51E-2</v>
      </c>
      <c r="I37" s="18">
        <f t="shared" si="19"/>
        <v>2.1084337349397592E-2</v>
      </c>
      <c r="J37" s="19">
        <f t="shared" si="2"/>
        <v>0.64999999999999991</v>
      </c>
      <c r="K37" s="21">
        <f t="shared" si="3"/>
        <v>6340593.4926447617</v>
      </c>
      <c r="L37" s="21">
        <f t="shared" si="4"/>
        <v>1033038.7971404821</v>
      </c>
      <c r="N37" s="1">
        <v>25</v>
      </c>
      <c r="O37" s="3">
        <f t="shared" si="20"/>
        <v>126932021.01654638</v>
      </c>
      <c r="P37" s="3">
        <f t="shared" si="1"/>
        <v>52888.342090227663</v>
      </c>
      <c r="Q37" s="3">
        <f t="shared" si="5"/>
        <v>52888.342090227663</v>
      </c>
      <c r="R37" s="3">
        <v>0</v>
      </c>
      <c r="S37" s="3">
        <f t="shared" si="6"/>
        <v>980150.45505025447</v>
      </c>
      <c r="T37" s="3">
        <f t="shared" si="7"/>
        <v>317330.05254136596</v>
      </c>
      <c r="U37" s="3">
        <f t="shared" si="8"/>
        <v>980150.45505025447</v>
      </c>
      <c r="V37" s="3">
        <f t="shared" si="9"/>
        <v>317330.05254136596</v>
      </c>
      <c r="W37" s="3">
        <f t="shared" si="10"/>
        <v>0</v>
      </c>
      <c r="X37" s="3">
        <f t="shared" si="11"/>
        <v>662820.40250888851</v>
      </c>
      <c r="Y37" s="3">
        <f t="shared" si="12"/>
        <v>6340593.4926447617</v>
      </c>
      <c r="Z37" s="3">
        <f t="shared" si="13"/>
        <v>2542590.3393593719</v>
      </c>
      <c r="AA37" s="3">
        <f t="shared" si="14"/>
        <v>8883183.8320041336</v>
      </c>
      <c r="AB37" s="3">
        <f t="shared" si="15"/>
        <v>118048837.18454225</v>
      </c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>
        <v>10000000</v>
      </c>
      <c r="AQ37" s="3">
        <f t="shared" si="16"/>
        <v>662820.40250888851</v>
      </c>
      <c r="AR37" s="3">
        <f t="shared" si="17"/>
        <v>662820.40250888851</v>
      </c>
      <c r="AS37" s="3">
        <f t="shared" si="18"/>
        <v>662820.40250888851</v>
      </c>
      <c r="AT37" s="3">
        <f t="shared" si="21"/>
        <v>0</v>
      </c>
    </row>
    <row r="38" spans="1:46" ht="14.5" x14ac:dyDescent="0.35">
      <c r="A38" s="1">
        <v>26</v>
      </c>
      <c r="B38" s="3">
        <v>9428619.5541483909</v>
      </c>
      <c r="C38" s="3">
        <v>1477578.3621131987</v>
      </c>
      <c r="E38" s="19">
        <v>7.5950000000000004E-2</v>
      </c>
      <c r="I38" s="18">
        <f t="shared" si="19"/>
        <v>2.1538461538461541E-2</v>
      </c>
      <c r="J38" s="19">
        <f t="shared" si="2"/>
        <v>0.6359999999999999</v>
      </c>
      <c r="K38" s="21">
        <f t="shared" si="3"/>
        <v>6128602.7101964531</v>
      </c>
      <c r="L38" s="21">
        <f t="shared" si="4"/>
        <v>960425.93537357904</v>
      </c>
      <c r="N38" s="1">
        <v>26</v>
      </c>
      <c r="O38" s="3">
        <f t="shared" si="20"/>
        <v>118048837.18454225</v>
      </c>
      <c r="P38" s="3">
        <f t="shared" si="1"/>
        <v>49187.015493559273</v>
      </c>
      <c r="Q38" s="3">
        <f t="shared" si="5"/>
        <v>49187.015493559273</v>
      </c>
      <c r="R38" s="3">
        <v>0</v>
      </c>
      <c r="S38" s="3">
        <f t="shared" si="6"/>
        <v>911238.91988001973</v>
      </c>
      <c r="T38" s="3">
        <f t="shared" si="7"/>
        <v>295122.09296135564</v>
      </c>
      <c r="U38" s="3">
        <f t="shared" si="8"/>
        <v>911238.91988001973</v>
      </c>
      <c r="V38" s="3">
        <f t="shared" si="9"/>
        <v>295122.09296135564</v>
      </c>
      <c r="W38" s="3">
        <f t="shared" si="10"/>
        <v>0</v>
      </c>
      <c r="X38" s="3">
        <f t="shared" si="11"/>
        <v>616116.82691866416</v>
      </c>
      <c r="Y38" s="3">
        <f t="shared" si="12"/>
        <v>6128602.7101964531</v>
      </c>
      <c r="Z38" s="3">
        <f t="shared" si="13"/>
        <v>2410589.6656012945</v>
      </c>
      <c r="AA38" s="3">
        <f t="shared" si="14"/>
        <v>8539192.3757977486</v>
      </c>
      <c r="AB38" s="3">
        <f t="shared" si="15"/>
        <v>109509644.80874451</v>
      </c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>
        <v>10000000</v>
      </c>
      <c r="AQ38" s="3">
        <f t="shared" si="16"/>
        <v>616116.82691866416</v>
      </c>
      <c r="AR38" s="3">
        <f t="shared" si="17"/>
        <v>616116.82691866416</v>
      </c>
      <c r="AS38" s="3">
        <f t="shared" si="18"/>
        <v>616116.82691866416</v>
      </c>
      <c r="AT38" s="3">
        <f t="shared" si="21"/>
        <v>0</v>
      </c>
    </row>
    <row r="39" spans="1:46" ht="14.5" x14ac:dyDescent="0.35">
      <c r="A39" s="1">
        <v>27</v>
      </c>
      <c r="B39" s="3">
        <v>9305271.1632002816</v>
      </c>
      <c r="C39" s="3">
        <v>1400347.285307223</v>
      </c>
      <c r="E39" s="19">
        <v>7.7649999999999997E-2</v>
      </c>
      <c r="I39" s="18">
        <f t="shared" si="19"/>
        <v>2.20125786163522E-2</v>
      </c>
      <c r="J39" s="19">
        <f t="shared" si="2"/>
        <v>0.62199999999999989</v>
      </c>
      <c r="K39" s="21">
        <f t="shared" si="3"/>
        <v>5918152.4597953781</v>
      </c>
      <c r="L39" s="21">
        <f t="shared" si="4"/>
        <v>890620.87345539371</v>
      </c>
      <c r="N39" s="1">
        <v>27</v>
      </c>
      <c r="O39" s="3">
        <f t="shared" si="20"/>
        <v>109509644.80874451</v>
      </c>
      <c r="P39" s="3">
        <f t="shared" si="1"/>
        <v>45629.018670310208</v>
      </c>
      <c r="Q39" s="3">
        <f t="shared" si="5"/>
        <v>45629.018670310208</v>
      </c>
      <c r="R39" s="3">
        <v>0</v>
      </c>
      <c r="S39" s="3">
        <f t="shared" si="6"/>
        <v>844991.85478508356</v>
      </c>
      <c r="T39" s="3">
        <f t="shared" si="7"/>
        <v>273774.11202186125</v>
      </c>
      <c r="U39" s="3">
        <f t="shared" si="8"/>
        <v>844991.85478508356</v>
      </c>
      <c r="V39" s="3">
        <f t="shared" si="9"/>
        <v>273774.11202186125</v>
      </c>
      <c r="W39" s="3">
        <f t="shared" si="10"/>
        <v>0</v>
      </c>
      <c r="X39" s="3">
        <f t="shared" si="11"/>
        <v>571217.74276322231</v>
      </c>
      <c r="Y39" s="3">
        <f t="shared" si="12"/>
        <v>5918152.4597953781</v>
      </c>
      <c r="Z39" s="3">
        <f t="shared" si="13"/>
        <v>2280315.8693164904</v>
      </c>
      <c r="AA39" s="3">
        <f t="shared" si="14"/>
        <v>8198468.3291118685</v>
      </c>
      <c r="AB39" s="3">
        <f t="shared" si="15"/>
        <v>101311176.47963263</v>
      </c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>
        <v>10000000</v>
      </c>
      <c r="AQ39" s="3">
        <f t="shared" si="16"/>
        <v>571217.74276322231</v>
      </c>
      <c r="AR39" s="3">
        <f t="shared" si="17"/>
        <v>571217.74276322231</v>
      </c>
      <c r="AS39" s="3">
        <f t="shared" si="18"/>
        <v>571217.74276322231</v>
      </c>
      <c r="AT39" s="3">
        <f t="shared" si="21"/>
        <v>0</v>
      </c>
    </row>
    <row r="40" spans="1:46" ht="14.5" x14ac:dyDescent="0.35">
      <c r="A40" s="1">
        <v>28</v>
      </c>
      <c r="B40" s="3">
        <v>9172892.1002772022</v>
      </c>
      <c r="C40" s="3">
        <v>1324096.7687445912</v>
      </c>
      <c r="E40" s="19">
        <v>7.85E-2</v>
      </c>
      <c r="I40" s="18">
        <f t="shared" si="19"/>
        <v>2.2508038585209004E-2</v>
      </c>
      <c r="J40" s="19">
        <f t="shared" si="2"/>
        <v>0.60799999999999987</v>
      </c>
      <c r="K40" s="21">
        <f t="shared" si="3"/>
        <v>5705538.8863724191</v>
      </c>
      <c r="L40" s="21">
        <f t="shared" si="4"/>
        <v>823588.1901591355</v>
      </c>
      <c r="N40" s="1">
        <v>28</v>
      </c>
      <c r="O40" s="3">
        <f t="shared" si="20"/>
        <v>101311176.47963263</v>
      </c>
      <c r="P40" s="3">
        <f t="shared" si="1"/>
        <v>42212.990199846929</v>
      </c>
      <c r="Q40" s="3">
        <f t="shared" si="5"/>
        <v>42212.990199846929</v>
      </c>
      <c r="R40" s="3">
        <v>0</v>
      </c>
      <c r="S40" s="3">
        <f t="shared" si="6"/>
        <v>781375.19995928858</v>
      </c>
      <c r="T40" s="3">
        <f t="shared" si="7"/>
        <v>253277.94119908157</v>
      </c>
      <c r="U40" s="3">
        <f t="shared" si="8"/>
        <v>781375.19995928858</v>
      </c>
      <c r="V40" s="3">
        <f t="shared" si="9"/>
        <v>253277.94119908157</v>
      </c>
      <c r="W40" s="3">
        <f t="shared" si="10"/>
        <v>0</v>
      </c>
      <c r="X40" s="3">
        <f t="shared" si="11"/>
        <v>528097.25876020698</v>
      </c>
      <c r="Y40" s="3">
        <f t="shared" si="12"/>
        <v>5705538.8863724191</v>
      </c>
      <c r="Z40" s="3">
        <f t="shared" si="13"/>
        <v>2151895.3799126092</v>
      </c>
      <c r="AA40" s="3">
        <f t="shared" si="14"/>
        <v>7857434.2662850283</v>
      </c>
      <c r="AB40" s="3">
        <f t="shared" si="15"/>
        <v>93453742.213347599</v>
      </c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>
        <v>10000000</v>
      </c>
      <c r="AQ40" s="3">
        <f t="shared" si="16"/>
        <v>528097.25876020698</v>
      </c>
      <c r="AR40" s="3">
        <f t="shared" si="17"/>
        <v>528097.25876020698</v>
      </c>
      <c r="AS40" s="3">
        <f t="shared" si="18"/>
        <v>528097.25876020698</v>
      </c>
      <c r="AT40" s="3">
        <f t="shared" si="21"/>
        <v>0</v>
      </c>
    </row>
    <row r="41" spans="1:46" ht="14.5" x14ac:dyDescent="0.35">
      <c r="A41" s="1">
        <v>29</v>
      </c>
      <c r="B41" s="3">
        <v>8987584.3224090952</v>
      </c>
      <c r="C41" s="3">
        <v>1248873.7593342818</v>
      </c>
      <c r="E41" s="19">
        <v>7.8949999999999992E-2</v>
      </c>
      <c r="I41" s="18">
        <f t="shared" si="19"/>
        <v>2.3026315789473686E-2</v>
      </c>
      <c r="J41" s="19">
        <f t="shared" si="2"/>
        <v>0.59399999999999986</v>
      </c>
      <c r="K41" s="21">
        <f t="shared" si="3"/>
        <v>5464451.2680247286</v>
      </c>
      <c r="L41" s="21">
        <f t="shared" si="4"/>
        <v>759315.2456752432</v>
      </c>
      <c r="N41" s="1">
        <v>29</v>
      </c>
      <c r="O41" s="3">
        <f t="shared" si="20"/>
        <v>93453742.213347599</v>
      </c>
      <c r="P41" s="3">
        <f t="shared" si="1"/>
        <v>38939.0592555615</v>
      </c>
      <c r="Q41" s="3">
        <f t="shared" si="5"/>
        <v>38939.0592555615</v>
      </c>
      <c r="R41" s="3">
        <v>0</v>
      </c>
      <c r="S41" s="3">
        <f t="shared" si="6"/>
        <v>720376.18641968165</v>
      </c>
      <c r="T41" s="3">
        <f t="shared" si="7"/>
        <v>233634.355533369</v>
      </c>
      <c r="U41" s="3">
        <f t="shared" si="8"/>
        <v>720376.18641968165</v>
      </c>
      <c r="V41" s="3">
        <f t="shared" si="9"/>
        <v>233634.355533369</v>
      </c>
      <c r="W41" s="3">
        <f t="shared" si="10"/>
        <v>0</v>
      </c>
      <c r="X41" s="3">
        <f t="shared" si="11"/>
        <v>486741.83088631264</v>
      </c>
      <c r="Y41" s="3">
        <f t="shared" si="12"/>
        <v>5464451.2680247286</v>
      </c>
      <c r="Z41" s="3">
        <f t="shared" si="13"/>
        <v>2026069.199398882</v>
      </c>
      <c r="AA41" s="3">
        <f t="shared" si="14"/>
        <v>7490520.4674236104</v>
      </c>
      <c r="AB41" s="3">
        <f t="shared" si="15"/>
        <v>85963221.745923996</v>
      </c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>
        <v>10000000</v>
      </c>
      <c r="AQ41" s="3">
        <f t="shared" si="16"/>
        <v>486741.83088631264</v>
      </c>
      <c r="AR41" s="3">
        <f t="shared" si="17"/>
        <v>486741.83088631264</v>
      </c>
      <c r="AS41" s="3">
        <f t="shared" si="18"/>
        <v>486741.83088631264</v>
      </c>
      <c r="AT41" s="3">
        <f t="shared" si="21"/>
        <v>0</v>
      </c>
    </row>
    <row r="42" spans="1:46" ht="14.5" x14ac:dyDescent="0.35">
      <c r="A42" s="1">
        <v>30</v>
      </c>
      <c r="B42" s="3">
        <v>8733376.5716665126</v>
      </c>
      <c r="C42" s="3">
        <v>1175134.2474486055</v>
      </c>
      <c r="E42" s="19">
        <v>7.984999999999999E-2</v>
      </c>
      <c r="I42" s="18">
        <f t="shared" si="19"/>
        <v>2.3569023569023569E-2</v>
      </c>
      <c r="J42" s="19">
        <f t="shared" si="2"/>
        <v>0.57999999999999985</v>
      </c>
      <c r="K42" s="21">
        <f t="shared" si="3"/>
        <v>5187625.6835699072</v>
      </c>
      <c r="L42" s="21">
        <f t="shared" si="4"/>
        <v>698029.74298447149</v>
      </c>
      <c r="N42" s="1">
        <v>30</v>
      </c>
      <c r="O42" s="3">
        <f t="shared" si="20"/>
        <v>85963221.745923996</v>
      </c>
      <c r="P42" s="3">
        <f t="shared" si="1"/>
        <v>35818.009060801669</v>
      </c>
      <c r="Q42" s="3">
        <f t="shared" si="5"/>
        <v>35818.009060801669</v>
      </c>
      <c r="R42" s="3">
        <v>0</v>
      </c>
      <c r="S42" s="3">
        <f t="shared" si="6"/>
        <v>662211.73392366979</v>
      </c>
      <c r="T42" s="3">
        <f t="shared" si="7"/>
        <v>214908.05436481</v>
      </c>
      <c r="U42" s="3">
        <f t="shared" si="8"/>
        <v>662211.73392366979</v>
      </c>
      <c r="V42" s="3">
        <f t="shared" si="9"/>
        <v>214908.05436481</v>
      </c>
      <c r="W42" s="3">
        <f t="shared" si="10"/>
        <v>0</v>
      </c>
      <c r="X42" s="3">
        <f t="shared" si="11"/>
        <v>447303.67955885979</v>
      </c>
      <c r="Y42" s="3">
        <f t="shared" si="12"/>
        <v>5187625.6835699072</v>
      </c>
      <c r="Z42" s="3">
        <f t="shared" si="13"/>
        <v>1903801.927395551</v>
      </c>
      <c r="AA42" s="3">
        <f t="shared" si="14"/>
        <v>7091427.6109654587</v>
      </c>
      <c r="AB42" s="3">
        <f t="shared" si="15"/>
        <v>78871794.134958535</v>
      </c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>
        <v>10000000</v>
      </c>
      <c r="AQ42" s="3">
        <f t="shared" si="16"/>
        <v>447303.67955885979</v>
      </c>
      <c r="AR42" s="3">
        <f t="shared" si="17"/>
        <v>447303.67955885979</v>
      </c>
      <c r="AS42" s="3">
        <f t="shared" si="18"/>
        <v>447303.67955885979</v>
      </c>
      <c r="AT42" s="3">
        <f t="shared" si="21"/>
        <v>0</v>
      </c>
    </row>
    <row r="43" spans="1:46" ht="14.5" x14ac:dyDescent="0.35">
      <c r="A43" s="1">
        <v>31</v>
      </c>
      <c r="B43" s="3">
        <v>8506979.2766066249</v>
      </c>
      <c r="C43" s="3">
        <v>1103396.4134494816</v>
      </c>
      <c r="E43" s="19">
        <v>8.0299999999999996E-2</v>
      </c>
      <c r="I43" s="18">
        <f t="shared" si="19"/>
        <v>2.4137931034482755E-2</v>
      </c>
      <c r="J43" s="19">
        <f t="shared" si="2"/>
        <v>0.56599999999999984</v>
      </c>
      <c r="K43" s="21">
        <f t="shared" si="3"/>
        <v>4934047.9804318408</v>
      </c>
      <c r="L43" s="21">
        <f t="shared" si="4"/>
        <v>639969.91980069911</v>
      </c>
      <c r="N43" s="1">
        <v>31</v>
      </c>
      <c r="O43" s="3">
        <f t="shared" si="20"/>
        <v>78871794.134958535</v>
      </c>
      <c r="P43" s="3">
        <f t="shared" si="1"/>
        <v>32863.247556232724</v>
      </c>
      <c r="Q43" s="3">
        <f t="shared" si="5"/>
        <v>32863.247556232724</v>
      </c>
      <c r="R43" s="3">
        <v>0</v>
      </c>
      <c r="S43" s="3">
        <f t="shared" si="6"/>
        <v>607106.67224446638</v>
      </c>
      <c r="T43" s="3">
        <f t="shared" si="7"/>
        <v>197179.48533739636</v>
      </c>
      <c r="U43" s="3">
        <f t="shared" si="8"/>
        <v>607106.67224446638</v>
      </c>
      <c r="V43" s="3">
        <f t="shared" si="9"/>
        <v>197179.48533739636</v>
      </c>
      <c r="W43" s="3">
        <f t="shared" si="10"/>
        <v>0</v>
      </c>
      <c r="X43" s="3">
        <f t="shared" si="11"/>
        <v>409927.18690706999</v>
      </c>
      <c r="Y43" s="3">
        <f t="shared" si="12"/>
        <v>4934047.9804318408</v>
      </c>
      <c r="Z43" s="3">
        <f t="shared" si="13"/>
        <v>1784704.2175230579</v>
      </c>
      <c r="AA43" s="3">
        <f t="shared" si="14"/>
        <v>6718752.1979548987</v>
      </c>
      <c r="AB43" s="3">
        <f t="shared" si="15"/>
        <v>72153041.937003642</v>
      </c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>
        <v>10000000</v>
      </c>
      <c r="AQ43" s="3">
        <f t="shared" si="16"/>
        <v>409927.18690706999</v>
      </c>
      <c r="AR43" s="3">
        <f t="shared" si="17"/>
        <v>409927.18690706999</v>
      </c>
      <c r="AS43" s="3">
        <f t="shared" si="18"/>
        <v>409927.18690706999</v>
      </c>
      <c r="AT43" s="3">
        <f t="shared" si="21"/>
        <v>0</v>
      </c>
    </row>
    <row r="44" spans="1:46" ht="14.5" x14ac:dyDescent="0.35">
      <c r="A44" s="1">
        <v>32</v>
      </c>
      <c r="B44" s="3">
        <v>8277576.004905967</v>
      </c>
      <c r="C44" s="3">
        <v>1033496.0038859867</v>
      </c>
      <c r="E44" s="19">
        <v>8.0699999999999994E-2</v>
      </c>
      <c r="I44" s="18">
        <f t="shared" si="19"/>
        <v>2.4734982332155476E-2</v>
      </c>
      <c r="J44" s="19">
        <f t="shared" si="2"/>
        <v>0.55199999999999982</v>
      </c>
      <c r="K44" s="21">
        <f t="shared" si="3"/>
        <v>4685108.0187767763</v>
      </c>
      <c r="L44" s="21">
        <f t="shared" si="4"/>
        <v>584958.73819946835</v>
      </c>
      <c r="N44" s="1">
        <v>32</v>
      </c>
      <c r="O44" s="3">
        <f t="shared" si="20"/>
        <v>72153041.937003642</v>
      </c>
      <c r="P44" s="3">
        <f t="shared" si="1"/>
        <v>30063.767473751519</v>
      </c>
      <c r="Q44" s="3">
        <f t="shared" si="5"/>
        <v>30063.767473751519</v>
      </c>
      <c r="R44" s="3">
        <v>0</v>
      </c>
      <c r="S44" s="3">
        <f t="shared" si="6"/>
        <v>554894.97072571679</v>
      </c>
      <c r="T44" s="3">
        <f t="shared" si="7"/>
        <v>180382.60484250911</v>
      </c>
      <c r="U44" s="3">
        <f t="shared" si="8"/>
        <v>554894.97072571679</v>
      </c>
      <c r="V44" s="3">
        <f t="shared" si="9"/>
        <v>180382.60484250911</v>
      </c>
      <c r="W44" s="3">
        <f t="shared" si="10"/>
        <v>0</v>
      </c>
      <c r="X44" s="3">
        <f t="shared" si="11"/>
        <v>374512.36588320765</v>
      </c>
      <c r="Y44" s="3">
        <f t="shared" si="12"/>
        <v>4685108.0187767763</v>
      </c>
      <c r="Z44" s="3">
        <f t="shared" si="13"/>
        <v>1668818.1534543748</v>
      </c>
      <c r="AA44" s="3">
        <f t="shared" si="14"/>
        <v>6353926.1722311508</v>
      </c>
      <c r="AB44" s="3">
        <f t="shared" si="15"/>
        <v>65799115.76477249</v>
      </c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>
        <v>10000000</v>
      </c>
      <c r="AQ44" s="3">
        <f t="shared" si="16"/>
        <v>374512.36588320765</v>
      </c>
      <c r="AR44" s="3">
        <f t="shared" si="17"/>
        <v>374512.36588320765</v>
      </c>
      <c r="AS44" s="3">
        <f t="shared" si="18"/>
        <v>374512.36588320765</v>
      </c>
      <c r="AT44" s="3">
        <f t="shared" si="21"/>
        <v>0</v>
      </c>
    </row>
    <row r="45" spans="1:46" ht="14.5" x14ac:dyDescent="0.35">
      <c r="A45" s="1">
        <v>33</v>
      </c>
      <c r="B45" s="3">
        <v>8108167.2967211716</v>
      </c>
      <c r="C45" s="3">
        <v>965497.30246530613</v>
      </c>
      <c r="E45" s="19">
        <v>8.1499999999999989E-2</v>
      </c>
      <c r="I45" s="18">
        <f t="shared" si="19"/>
        <v>2.5362318840579708E-2</v>
      </c>
      <c r="J45" s="19">
        <f t="shared" si="2"/>
        <v>0.53799999999999981</v>
      </c>
      <c r="K45" s="21">
        <f t="shared" si="3"/>
        <v>4475708.3477900857</v>
      </c>
      <c r="L45" s="21">
        <f t="shared" si="4"/>
        <v>532954.51096084877</v>
      </c>
      <c r="N45" s="1">
        <v>33</v>
      </c>
      <c r="O45" s="3">
        <f t="shared" si="20"/>
        <v>65799115.76477249</v>
      </c>
      <c r="P45" s="3">
        <f t="shared" ref="P45:P76" si="22">O45*ServicingFee/12</f>
        <v>27416.298235321872</v>
      </c>
      <c r="Q45" s="3">
        <f t="shared" si="5"/>
        <v>27416.298235321872</v>
      </c>
      <c r="R45" s="3">
        <v>0</v>
      </c>
      <c r="S45" s="3">
        <f t="shared" si="6"/>
        <v>505538.21272552689</v>
      </c>
      <c r="T45" s="3">
        <f t="shared" ref="T45:T76" si="23">O45*(Coupon/12)</f>
        <v>164497.78941193124</v>
      </c>
      <c r="U45" s="3">
        <f t="shared" si="8"/>
        <v>505538.21272552689</v>
      </c>
      <c r="V45" s="3">
        <f t="shared" si="9"/>
        <v>164497.78941193124</v>
      </c>
      <c r="W45" s="3">
        <f t="shared" si="10"/>
        <v>0</v>
      </c>
      <c r="X45" s="3">
        <f t="shared" si="11"/>
        <v>341040.42331359565</v>
      </c>
      <c r="Y45" s="3">
        <f t="shared" si="12"/>
        <v>4475708.3477900857</v>
      </c>
      <c r="Z45" s="3">
        <f t="shared" si="13"/>
        <v>1555303.8113002782</v>
      </c>
      <c r="AA45" s="3">
        <f t="shared" si="14"/>
        <v>6031012.1590903644</v>
      </c>
      <c r="AB45" s="3">
        <f t="shared" si="15"/>
        <v>59768103.605682127</v>
      </c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>
        <v>10000000</v>
      </c>
      <c r="AQ45" s="3">
        <f t="shared" si="16"/>
        <v>341040.42331359565</v>
      </c>
      <c r="AR45" s="3">
        <f t="shared" si="17"/>
        <v>341040.42331359565</v>
      </c>
      <c r="AS45" s="3">
        <f t="shared" si="18"/>
        <v>341040.42331359565</v>
      </c>
      <c r="AT45" s="3">
        <f t="shared" si="21"/>
        <v>0</v>
      </c>
    </row>
    <row r="46" spans="1:46" ht="14.5" x14ac:dyDescent="0.35">
      <c r="A46" s="1">
        <v>34</v>
      </c>
      <c r="B46" s="3">
        <v>7958542.0822660364</v>
      </c>
      <c r="C46" s="3">
        <v>898890.9038793752</v>
      </c>
      <c r="E46" s="19">
        <v>8.1900000000000001E-2</v>
      </c>
      <c r="I46" s="18">
        <f t="shared" si="19"/>
        <v>2.6022304832713755E-2</v>
      </c>
      <c r="J46" s="19">
        <f t="shared" si="2"/>
        <v>0.5239999999999998</v>
      </c>
      <c r="K46" s="21">
        <f t="shared" si="3"/>
        <v>4281695.6402591262</v>
      </c>
      <c r="L46" s="21">
        <f t="shared" si="4"/>
        <v>483603.30628710368</v>
      </c>
      <c r="N46" s="1">
        <v>34</v>
      </c>
      <c r="O46" s="3">
        <f t="shared" si="20"/>
        <v>59768103.605682127</v>
      </c>
      <c r="P46" s="3">
        <f t="shared" si="22"/>
        <v>24903.376502367551</v>
      </c>
      <c r="Q46" s="3">
        <f t="shared" si="5"/>
        <v>24903.376502367551</v>
      </c>
      <c r="R46" s="3">
        <v>0</v>
      </c>
      <c r="S46" s="3">
        <f t="shared" si="6"/>
        <v>458699.92978473613</v>
      </c>
      <c r="T46" s="3">
        <f t="shared" si="23"/>
        <v>149420.25901420531</v>
      </c>
      <c r="U46" s="3">
        <f t="shared" si="8"/>
        <v>458699.92978473613</v>
      </c>
      <c r="V46" s="3">
        <f t="shared" si="9"/>
        <v>149420.25901420531</v>
      </c>
      <c r="W46" s="3">
        <f t="shared" si="10"/>
        <v>0</v>
      </c>
      <c r="X46" s="3">
        <f t="shared" si="11"/>
        <v>309279.67077053082</v>
      </c>
      <c r="Y46" s="3">
        <f t="shared" si="12"/>
        <v>4281695.6402591262</v>
      </c>
      <c r="Z46" s="3">
        <f t="shared" si="13"/>
        <v>1443884.2221485539</v>
      </c>
      <c r="AA46" s="3">
        <f t="shared" si="14"/>
        <v>5725579.8624076806</v>
      </c>
      <c r="AB46" s="3">
        <f t="shared" si="15"/>
        <v>54042523.74327445</v>
      </c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>
        <v>10000000</v>
      </c>
      <c r="AQ46" s="3">
        <f t="shared" si="16"/>
        <v>309279.67077053082</v>
      </c>
      <c r="AR46" s="3">
        <f t="shared" si="17"/>
        <v>309279.67077053082</v>
      </c>
      <c r="AS46" s="3">
        <f t="shared" si="18"/>
        <v>309279.67077053082</v>
      </c>
      <c r="AT46" s="3">
        <f t="shared" si="21"/>
        <v>0</v>
      </c>
    </row>
    <row r="47" spans="1:46" ht="14.5" x14ac:dyDescent="0.35">
      <c r="A47" s="1">
        <v>35</v>
      </c>
      <c r="B47" s="3">
        <v>7812082.6179247443</v>
      </c>
      <c r="C47" s="3">
        <v>833558.37022773479</v>
      </c>
      <c r="E47" s="19">
        <v>8.2000000000000003E-2</v>
      </c>
      <c r="I47" s="18">
        <f t="shared" si="19"/>
        <v>2.6717557251908396E-2</v>
      </c>
      <c r="J47" s="19">
        <f t="shared" si="2"/>
        <v>0.50999999999999979</v>
      </c>
      <c r="K47" s="21">
        <f t="shared" si="3"/>
        <v>4093531.2917925646</v>
      </c>
      <c r="L47" s="21">
        <f t="shared" si="4"/>
        <v>436784.58599933289</v>
      </c>
      <c r="N47" s="1">
        <v>35</v>
      </c>
      <c r="O47" s="3">
        <f t="shared" si="20"/>
        <v>54042523.74327445</v>
      </c>
      <c r="P47" s="3">
        <f t="shared" si="22"/>
        <v>22517.718226364352</v>
      </c>
      <c r="Q47" s="3">
        <f t="shared" si="5"/>
        <v>22517.718226364352</v>
      </c>
      <c r="R47" s="3">
        <v>0</v>
      </c>
      <c r="S47" s="3">
        <f t="shared" si="6"/>
        <v>414266.86777296854</v>
      </c>
      <c r="T47" s="3">
        <f t="shared" si="23"/>
        <v>135106.30935818612</v>
      </c>
      <c r="U47" s="3">
        <f t="shared" si="8"/>
        <v>414266.86777296854</v>
      </c>
      <c r="V47" s="3">
        <f t="shared" si="9"/>
        <v>135106.30935818612</v>
      </c>
      <c r="W47" s="3">
        <f t="shared" si="10"/>
        <v>0</v>
      </c>
      <c r="X47" s="3">
        <f t="shared" si="11"/>
        <v>279160.5584147824</v>
      </c>
      <c r="Y47" s="3">
        <f t="shared" si="12"/>
        <v>4093531.2917925646</v>
      </c>
      <c r="Z47" s="3">
        <f t="shared" si="13"/>
        <v>1334515.0654976077</v>
      </c>
      <c r="AA47" s="3">
        <f t="shared" si="14"/>
        <v>5428046.357290172</v>
      </c>
      <c r="AB47" s="3">
        <f t="shared" si="15"/>
        <v>48614477.385984279</v>
      </c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>
        <v>10000000</v>
      </c>
      <c r="AQ47" s="3">
        <f t="shared" si="16"/>
        <v>279160.5584147824</v>
      </c>
      <c r="AR47" s="3">
        <f t="shared" si="17"/>
        <v>279160.5584147824</v>
      </c>
      <c r="AS47" s="3">
        <f t="shared" si="18"/>
        <v>279160.5584147824</v>
      </c>
      <c r="AT47" s="3">
        <f t="shared" si="21"/>
        <v>0</v>
      </c>
    </row>
    <row r="48" spans="1:46" ht="14.5" x14ac:dyDescent="0.35">
      <c r="A48" s="1">
        <v>36</v>
      </c>
      <c r="B48" s="3">
        <v>7614957.7334936038</v>
      </c>
      <c r="C48" s="3">
        <v>769499.1330558426</v>
      </c>
      <c r="E48" s="19">
        <v>8.2100000000000006E-2</v>
      </c>
      <c r="I48" s="18">
        <f t="shared" si="19"/>
        <v>2.7450980392156862E-2</v>
      </c>
      <c r="J48" s="19">
        <f t="shared" si="2"/>
        <v>0.49599999999999977</v>
      </c>
      <c r="K48" s="21">
        <f t="shared" si="3"/>
        <v>3883628.4440817363</v>
      </c>
      <c r="L48" s="21">
        <f t="shared" si="4"/>
        <v>392444.55785847956</v>
      </c>
      <c r="N48" s="1">
        <v>36</v>
      </c>
      <c r="O48" s="3">
        <f t="shared" si="20"/>
        <v>48614477.385984279</v>
      </c>
      <c r="P48" s="3">
        <f t="shared" si="22"/>
        <v>20256.032244160117</v>
      </c>
      <c r="Q48" s="3">
        <f t="shared" si="5"/>
        <v>20256.032244160117</v>
      </c>
      <c r="R48" s="3">
        <v>0</v>
      </c>
      <c r="S48" s="3">
        <f t="shared" si="6"/>
        <v>372188.52561431943</v>
      </c>
      <c r="T48" s="3">
        <f t="shared" si="23"/>
        <v>121536.1934649607</v>
      </c>
      <c r="U48" s="3">
        <f t="shared" si="8"/>
        <v>372188.52561431943</v>
      </c>
      <c r="V48" s="3">
        <f t="shared" si="9"/>
        <v>121536.1934649607</v>
      </c>
      <c r="W48" s="3">
        <f t="shared" si="10"/>
        <v>0</v>
      </c>
      <c r="X48" s="3">
        <f t="shared" si="11"/>
        <v>250652.33214935873</v>
      </c>
      <c r="Y48" s="3">
        <f t="shared" si="12"/>
        <v>3883628.4440817363</v>
      </c>
      <c r="Z48" s="3">
        <f t="shared" si="13"/>
        <v>1227905.6572286971</v>
      </c>
      <c r="AA48" s="3">
        <f t="shared" si="14"/>
        <v>5111534.1013104338</v>
      </c>
      <c r="AB48" s="3">
        <f t="shared" si="15"/>
        <v>43502943.284673847</v>
      </c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>
        <v>10000000</v>
      </c>
      <c r="AQ48" s="3">
        <f t="shared" si="16"/>
        <v>250652.33214935873</v>
      </c>
      <c r="AR48" s="3">
        <f t="shared" si="17"/>
        <v>250652.33214935873</v>
      </c>
      <c r="AS48" s="3">
        <f t="shared" si="18"/>
        <v>250652.33214935873</v>
      </c>
      <c r="AT48" s="3">
        <f t="shared" si="21"/>
        <v>0</v>
      </c>
    </row>
    <row r="49" spans="1:46" ht="14.5" x14ac:dyDescent="0.35">
      <c r="A49" s="1">
        <v>37</v>
      </c>
      <c r="B49" s="3">
        <v>7380086.5603452772</v>
      </c>
      <c r="C49" s="3">
        <v>707105.65059882205</v>
      </c>
      <c r="E49" s="19">
        <v>8.2200000000000009E-2</v>
      </c>
      <c r="I49" s="18">
        <f t="shared" si="19"/>
        <v>2.8225806451612902E-2</v>
      </c>
      <c r="J49" s="19">
        <f t="shared" si="2"/>
        <v>0.48199999999999982</v>
      </c>
      <c r="K49" s="21">
        <f t="shared" si="3"/>
        <v>3660522.9339312557</v>
      </c>
      <c r="L49" s="21">
        <f t="shared" si="4"/>
        <v>350724.40269701555</v>
      </c>
      <c r="N49" s="1">
        <v>37</v>
      </c>
      <c r="O49" s="3">
        <f t="shared" si="20"/>
        <v>43502943.284673847</v>
      </c>
      <c r="P49" s="3">
        <f t="shared" si="22"/>
        <v>18126.226368614105</v>
      </c>
      <c r="Q49" s="3">
        <f t="shared" si="5"/>
        <v>18126.226368614105</v>
      </c>
      <c r="R49" s="3">
        <v>0</v>
      </c>
      <c r="S49" s="3">
        <f t="shared" si="6"/>
        <v>332598.17632840143</v>
      </c>
      <c r="T49" s="3">
        <f t="shared" si="23"/>
        <v>108757.35821168462</v>
      </c>
      <c r="U49" s="3">
        <f t="shared" si="8"/>
        <v>332598.17632840143</v>
      </c>
      <c r="V49" s="3">
        <f t="shared" si="9"/>
        <v>108757.35821168462</v>
      </c>
      <c r="W49" s="3">
        <f t="shared" si="10"/>
        <v>0</v>
      </c>
      <c r="X49" s="3">
        <f t="shared" si="11"/>
        <v>223840.81811671681</v>
      </c>
      <c r="Y49" s="3">
        <f t="shared" si="12"/>
        <v>3660522.9339312557</v>
      </c>
      <c r="Z49" s="3">
        <f t="shared" si="13"/>
        <v>1124584.4453838635</v>
      </c>
      <c r="AA49" s="3">
        <f t="shared" si="14"/>
        <v>4785107.3793151192</v>
      </c>
      <c r="AB49" s="3">
        <f t="shared" si="15"/>
        <v>38717835.905358732</v>
      </c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>
        <v>10000000</v>
      </c>
      <c r="AQ49" s="3">
        <f t="shared" si="16"/>
        <v>223840.81811671681</v>
      </c>
      <c r="AR49" s="3">
        <f t="shared" si="17"/>
        <v>223840.81811671681</v>
      </c>
      <c r="AS49" s="3">
        <f t="shared" si="18"/>
        <v>223840.81811671681</v>
      </c>
      <c r="AT49" s="3">
        <f t="shared" si="21"/>
        <v>0</v>
      </c>
    </row>
    <row r="50" spans="1:46" ht="14.5" x14ac:dyDescent="0.35">
      <c r="A50" s="1">
        <v>38</v>
      </c>
      <c r="B50" s="3">
        <v>7115211.0632049209</v>
      </c>
      <c r="C50" s="3">
        <v>646699.35040361166</v>
      </c>
      <c r="E50" s="19">
        <v>8.2300000000000012E-2</v>
      </c>
      <c r="I50" s="18">
        <f t="shared" si="19"/>
        <v>2.9045643153526972E-2</v>
      </c>
      <c r="J50" s="19">
        <f t="shared" si="2"/>
        <v>0.46799999999999981</v>
      </c>
      <c r="K50" s="21">
        <f t="shared" si="3"/>
        <v>3429531.7324647703</v>
      </c>
      <c r="L50" s="21">
        <f t="shared" si="4"/>
        <v>311709.0868945407</v>
      </c>
      <c r="N50" s="1">
        <v>38</v>
      </c>
      <c r="O50" s="3">
        <f t="shared" si="20"/>
        <v>38717835.905358732</v>
      </c>
      <c r="P50" s="3">
        <f t="shared" si="22"/>
        <v>16132.431627232805</v>
      </c>
      <c r="Q50" s="3">
        <f t="shared" si="5"/>
        <v>16132.431627232805</v>
      </c>
      <c r="R50" s="3">
        <v>0</v>
      </c>
      <c r="S50" s="3">
        <f t="shared" si="6"/>
        <v>295576.65526730788</v>
      </c>
      <c r="T50" s="3">
        <f t="shared" si="23"/>
        <v>96794.589763396827</v>
      </c>
      <c r="U50" s="3">
        <f t="shared" si="8"/>
        <v>295576.65526730788</v>
      </c>
      <c r="V50" s="3">
        <f t="shared" si="9"/>
        <v>96794.589763396827</v>
      </c>
      <c r="W50" s="3">
        <f t="shared" si="10"/>
        <v>0</v>
      </c>
      <c r="X50" s="3">
        <f t="shared" si="11"/>
        <v>198782.06550391106</v>
      </c>
      <c r="Y50" s="3">
        <f t="shared" si="12"/>
        <v>3429531.7324647703</v>
      </c>
      <c r="Z50" s="3">
        <f t="shared" si="13"/>
        <v>1024971.4904989948</v>
      </c>
      <c r="AA50" s="3">
        <f t="shared" si="14"/>
        <v>4454503.2229637653</v>
      </c>
      <c r="AB50" s="3">
        <f t="shared" si="15"/>
        <v>34263332.682394966</v>
      </c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>
        <v>10000000</v>
      </c>
      <c r="AQ50" s="3">
        <f t="shared" si="16"/>
        <v>198782.06550391106</v>
      </c>
      <c r="AR50" s="3">
        <f t="shared" si="17"/>
        <v>198782.06550391106</v>
      </c>
      <c r="AS50" s="3">
        <f t="shared" si="18"/>
        <v>198782.06550391106</v>
      </c>
      <c r="AT50" s="3">
        <f t="shared" si="21"/>
        <v>0</v>
      </c>
    </row>
    <row r="51" spans="1:46" ht="14.5" x14ac:dyDescent="0.35">
      <c r="A51" s="1">
        <v>39</v>
      </c>
      <c r="B51" s="3">
        <v>6863890.7943603899</v>
      </c>
      <c r="C51" s="3">
        <v>588531.42476423946</v>
      </c>
      <c r="E51" s="19">
        <v>8.2400000000000015E-2</v>
      </c>
      <c r="I51" s="18">
        <f t="shared" si="19"/>
        <v>2.9914529914529916E-2</v>
      </c>
      <c r="J51" s="19">
        <f t="shared" si="2"/>
        <v>0.45399999999999979</v>
      </c>
      <c r="K51" s="21">
        <f t="shared" si="3"/>
        <v>3212300.8917606613</v>
      </c>
      <c r="L51" s="21">
        <f t="shared" si="4"/>
        <v>275432.70678966393</v>
      </c>
      <c r="N51" s="1">
        <v>39</v>
      </c>
      <c r="O51" s="3">
        <f t="shared" si="20"/>
        <v>34263332.682394966</v>
      </c>
      <c r="P51" s="3">
        <f t="shared" si="22"/>
        <v>14276.38861766457</v>
      </c>
      <c r="Q51" s="3">
        <f t="shared" si="5"/>
        <v>14276.38861766457</v>
      </c>
      <c r="R51" s="3">
        <v>0</v>
      </c>
      <c r="S51" s="3">
        <f t="shared" si="6"/>
        <v>261156.31817199936</v>
      </c>
      <c r="T51" s="3">
        <f t="shared" si="23"/>
        <v>85658.331705987424</v>
      </c>
      <c r="U51" s="3">
        <f t="shared" si="8"/>
        <v>261156.31817199936</v>
      </c>
      <c r="V51" s="3">
        <f t="shared" si="9"/>
        <v>85658.331705987424</v>
      </c>
      <c r="W51" s="3">
        <f t="shared" si="10"/>
        <v>0</v>
      </c>
      <c r="X51" s="3">
        <f t="shared" si="11"/>
        <v>175497.98646601193</v>
      </c>
      <c r="Y51" s="3">
        <f t="shared" si="12"/>
        <v>3212300.8917606613</v>
      </c>
      <c r="Z51" s="3">
        <f t="shared" si="13"/>
        <v>928877.0193779493</v>
      </c>
      <c r="AA51" s="3">
        <f t="shared" si="14"/>
        <v>4141177.9111386104</v>
      </c>
      <c r="AB51" s="3">
        <f t="shared" si="15"/>
        <v>30122154.771256357</v>
      </c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>
        <v>10000000</v>
      </c>
      <c r="AQ51" s="3">
        <f t="shared" si="16"/>
        <v>175497.98646601193</v>
      </c>
      <c r="AR51" s="3">
        <f t="shared" si="17"/>
        <v>175497.98646601193</v>
      </c>
      <c r="AS51" s="3">
        <f t="shared" si="18"/>
        <v>175497.98646601193</v>
      </c>
      <c r="AT51" s="3">
        <f t="shared" si="21"/>
        <v>0</v>
      </c>
    </row>
    <row r="52" spans="1:46" ht="14.5" x14ac:dyDescent="0.35">
      <c r="A52" s="1">
        <v>40</v>
      </c>
      <c r="B52" s="3">
        <v>6618377.9643018944</v>
      </c>
      <c r="C52" s="3">
        <v>532463.41406487382</v>
      </c>
      <c r="E52" s="19">
        <v>8.2500000000000018E-2</v>
      </c>
      <c r="I52" s="18">
        <f t="shared" si="19"/>
        <v>3.0837004405286347E-2</v>
      </c>
      <c r="J52" s="19">
        <f t="shared" si="2"/>
        <v>0.43999999999999978</v>
      </c>
      <c r="K52" s="21">
        <f t="shared" si="3"/>
        <v>3004743.5957930586</v>
      </c>
      <c r="L52" s="21">
        <f t="shared" si="4"/>
        <v>241738.38998545261</v>
      </c>
      <c r="N52" s="1">
        <v>40</v>
      </c>
      <c r="O52" s="3">
        <f t="shared" si="20"/>
        <v>30122154.771256357</v>
      </c>
      <c r="P52" s="3">
        <f t="shared" si="22"/>
        <v>12550.897821356817</v>
      </c>
      <c r="Q52" s="3">
        <f t="shared" si="5"/>
        <v>12550.897821356817</v>
      </c>
      <c r="R52" s="3">
        <v>0</v>
      </c>
      <c r="S52" s="3">
        <f t="shared" si="6"/>
        <v>229187.49216409581</v>
      </c>
      <c r="T52" s="3">
        <f t="shared" si="23"/>
        <v>75305.386928140899</v>
      </c>
      <c r="U52" s="3">
        <f t="shared" si="8"/>
        <v>229187.49216409581</v>
      </c>
      <c r="V52" s="3">
        <f t="shared" si="9"/>
        <v>75305.386928140899</v>
      </c>
      <c r="W52" s="3">
        <f t="shared" si="10"/>
        <v>0</v>
      </c>
      <c r="X52" s="3">
        <f t="shared" si="11"/>
        <v>153882.10523595492</v>
      </c>
      <c r="Y52" s="3">
        <f t="shared" si="12"/>
        <v>3004743.5957930586</v>
      </c>
      <c r="Z52" s="3">
        <f t="shared" si="13"/>
        <v>836219.72787772305</v>
      </c>
      <c r="AA52" s="3">
        <f t="shared" si="14"/>
        <v>3840963.3236707817</v>
      </c>
      <c r="AB52" s="3">
        <f t="shared" si="15"/>
        <v>26281191.447585575</v>
      </c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>
        <v>10000000</v>
      </c>
      <c r="AQ52" s="3">
        <f t="shared" si="16"/>
        <v>153882.10523595492</v>
      </c>
      <c r="AR52" s="3">
        <f t="shared" si="17"/>
        <v>153882.10523595492</v>
      </c>
      <c r="AS52" s="3">
        <f t="shared" si="18"/>
        <v>153882.10523595492</v>
      </c>
      <c r="AT52" s="3">
        <f t="shared" si="21"/>
        <v>0</v>
      </c>
    </row>
    <row r="53" spans="1:46" ht="14.5" x14ac:dyDescent="0.35">
      <c r="A53" s="1">
        <v>41</v>
      </c>
      <c r="B53" s="3">
        <v>6288526.3892000755</v>
      </c>
      <c r="C53" s="3">
        <v>478466.0540171559</v>
      </c>
      <c r="E53" s="19">
        <v>8.2600000000000021E-2</v>
      </c>
      <c r="I53" s="18">
        <f t="shared" si="19"/>
        <v>3.1818181818181822E-2</v>
      </c>
      <c r="J53" s="19">
        <f t="shared" si="2"/>
        <v>0.42599999999999977</v>
      </c>
      <c r="K53" s="21">
        <f t="shared" si="3"/>
        <v>2766951.6112480317</v>
      </c>
      <c r="L53" s="21">
        <f t="shared" si="4"/>
        <v>210525.06376754848</v>
      </c>
      <c r="N53" s="1">
        <v>41</v>
      </c>
      <c r="O53" s="3">
        <f t="shared" si="20"/>
        <v>26281191.447585575</v>
      </c>
      <c r="P53" s="3">
        <f t="shared" si="22"/>
        <v>10950.49643649399</v>
      </c>
      <c r="Q53" s="3">
        <f t="shared" si="5"/>
        <v>10950.49643649399</v>
      </c>
      <c r="R53" s="3">
        <v>0</v>
      </c>
      <c r="S53" s="3">
        <f t="shared" si="6"/>
        <v>199574.56733105448</v>
      </c>
      <c r="T53" s="3">
        <f t="shared" si="23"/>
        <v>65702.978618963942</v>
      </c>
      <c r="U53" s="3">
        <f t="shared" si="8"/>
        <v>199574.56733105448</v>
      </c>
      <c r="V53" s="3">
        <f t="shared" si="9"/>
        <v>65702.978618963942</v>
      </c>
      <c r="W53" s="3">
        <f t="shared" si="10"/>
        <v>0</v>
      </c>
      <c r="X53" s="3">
        <f t="shared" si="11"/>
        <v>133871.58871209054</v>
      </c>
      <c r="Y53" s="3">
        <f t="shared" si="12"/>
        <v>2766951.6112480317</v>
      </c>
      <c r="Z53" s="3">
        <f t="shared" si="13"/>
        <v>748180.3584289219</v>
      </c>
      <c r="AA53" s="3">
        <f t="shared" si="14"/>
        <v>3515131.9696769537</v>
      </c>
      <c r="AB53" s="3">
        <f t="shared" si="15"/>
        <v>22766059.477908622</v>
      </c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>
        <v>10000000</v>
      </c>
      <c r="AQ53" s="3">
        <f t="shared" si="16"/>
        <v>133871.58871209054</v>
      </c>
      <c r="AR53" s="3">
        <f t="shared" si="17"/>
        <v>133871.58871209054</v>
      </c>
      <c r="AS53" s="3">
        <f t="shared" si="18"/>
        <v>133871.58871209054</v>
      </c>
      <c r="AT53" s="3">
        <f t="shared" si="21"/>
        <v>0</v>
      </c>
    </row>
    <row r="54" spans="1:46" ht="14.5" x14ac:dyDescent="0.35">
      <c r="A54" s="1">
        <v>42</v>
      </c>
      <c r="B54" s="3">
        <v>5846482.5395424189</v>
      </c>
      <c r="C54" s="3">
        <v>427251.33949142293</v>
      </c>
      <c r="E54" s="19">
        <v>8.2700000000000023E-2</v>
      </c>
      <c r="I54" s="18">
        <f t="shared" si="19"/>
        <v>3.2863849765258218E-2</v>
      </c>
      <c r="J54" s="19">
        <f t="shared" si="2"/>
        <v>0.41199999999999976</v>
      </c>
      <c r="K54" s="21">
        <f t="shared" si="3"/>
        <v>2490601.5618450693</v>
      </c>
      <c r="L54" s="21">
        <f t="shared" si="4"/>
        <v>182009.07062334608</v>
      </c>
      <c r="N54" s="1">
        <v>42</v>
      </c>
      <c r="O54" s="3">
        <f t="shared" si="20"/>
        <v>22766059.477908622</v>
      </c>
      <c r="P54" s="3">
        <f t="shared" si="22"/>
        <v>9485.8581157952594</v>
      </c>
      <c r="Q54" s="3">
        <f t="shared" si="5"/>
        <v>9485.8581157952594</v>
      </c>
      <c r="R54" s="3">
        <v>0</v>
      </c>
      <c r="S54" s="3">
        <f t="shared" si="6"/>
        <v>172523.21250755081</v>
      </c>
      <c r="T54" s="3">
        <f t="shared" si="23"/>
        <v>56915.14869477156</v>
      </c>
      <c r="U54" s="3">
        <f t="shared" si="8"/>
        <v>172523.21250755081</v>
      </c>
      <c r="V54" s="3">
        <f t="shared" si="9"/>
        <v>56915.14869477156</v>
      </c>
      <c r="W54" s="3">
        <f t="shared" si="10"/>
        <v>0</v>
      </c>
      <c r="X54" s="3">
        <f t="shared" si="11"/>
        <v>115608.06381277925</v>
      </c>
      <c r="Y54" s="3">
        <f t="shared" si="12"/>
        <v>2490601.5618450693</v>
      </c>
      <c r="Z54" s="3">
        <f t="shared" si="13"/>
        <v>666329.60287532816</v>
      </c>
      <c r="AA54" s="3">
        <f t="shared" si="14"/>
        <v>3156931.1647203974</v>
      </c>
      <c r="AB54" s="3">
        <f t="shared" si="15"/>
        <v>19609128.313188225</v>
      </c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>
        <v>10000000</v>
      </c>
      <c r="AQ54" s="3">
        <f t="shared" si="16"/>
        <v>115608.06381277925</v>
      </c>
      <c r="AR54" s="3">
        <f t="shared" si="17"/>
        <v>115608.06381277925</v>
      </c>
      <c r="AS54" s="3">
        <f t="shared" si="18"/>
        <v>115608.06381277925</v>
      </c>
      <c r="AT54" s="3">
        <f t="shared" si="21"/>
        <v>0</v>
      </c>
    </row>
    <row r="55" spans="1:46" ht="14.5" x14ac:dyDescent="0.35">
      <c r="A55" s="1">
        <v>43</v>
      </c>
      <c r="B55" s="3">
        <v>5390956.5915742582</v>
      </c>
      <c r="C55" s="3">
        <v>379763.04395535565</v>
      </c>
      <c r="E55" s="19">
        <v>8.2800000000000026E-2</v>
      </c>
      <c r="I55" s="18">
        <f t="shared" si="19"/>
        <v>3.3980582524271843E-2</v>
      </c>
      <c r="J55" s="19">
        <f t="shared" si="2"/>
        <v>0.39799999999999974</v>
      </c>
      <c r="K55" s="21">
        <f t="shared" si="3"/>
        <v>2221074.115728593</v>
      </c>
      <c r="L55" s="21">
        <f t="shared" si="4"/>
        <v>156462.37410960643</v>
      </c>
      <c r="N55" s="1">
        <v>43</v>
      </c>
      <c r="O55" s="3">
        <f t="shared" si="20"/>
        <v>19609128.313188225</v>
      </c>
      <c r="P55" s="3">
        <f t="shared" si="22"/>
        <v>8170.4701304950941</v>
      </c>
      <c r="Q55" s="3">
        <f t="shared" si="5"/>
        <v>8170.4701304950941</v>
      </c>
      <c r="R55" s="3">
        <v>0</v>
      </c>
      <c r="S55" s="3">
        <f t="shared" si="6"/>
        <v>148291.90397911135</v>
      </c>
      <c r="T55" s="3">
        <f t="shared" si="23"/>
        <v>49022.820782970564</v>
      </c>
      <c r="U55" s="3">
        <f t="shared" si="8"/>
        <v>148291.90397911135</v>
      </c>
      <c r="V55" s="3">
        <f t="shared" si="9"/>
        <v>49022.820782970564</v>
      </c>
      <c r="W55" s="3">
        <f t="shared" si="10"/>
        <v>0</v>
      </c>
      <c r="X55" s="3">
        <f t="shared" si="11"/>
        <v>99269.083196140782</v>
      </c>
      <c r="Y55" s="3">
        <f t="shared" si="12"/>
        <v>2221074.115728593</v>
      </c>
      <c r="Z55" s="3">
        <f t="shared" si="13"/>
        <v>590856.21059328842</v>
      </c>
      <c r="AA55" s="3">
        <f t="shared" si="14"/>
        <v>2811930.3263218813</v>
      </c>
      <c r="AB55" s="3">
        <f t="shared" si="15"/>
        <v>16797197.986866344</v>
      </c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>
        <v>10000000</v>
      </c>
      <c r="AQ55" s="3">
        <f t="shared" si="16"/>
        <v>99269.083196140782</v>
      </c>
      <c r="AR55" s="3">
        <f t="shared" si="17"/>
        <v>99269.083196140782</v>
      </c>
      <c r="AS55" s="3">
        <f t="shared" si="18"/>
        <v>99269.083196140782</v>
      </c>
      <c r="AT55" s="3">
        <f t="shared" si="21"/>
        <v>0</v>
      </c>
    </row>
    <row r="56" spans="1:46" ht="14.5" x14ac:dyDescent="0.35">
      <c r="A56" s="1">
        <v>44</v>
      </c>
      <c r="B56" s="3">
        <v>4982726.6407855824</v>
      </c>
      <c r="C56" s="3">
        <v>336104.65405096213</v>
      </c>
      <c r="E56" s="19">
        <v>8.2900000000000029E-2</v>
      </c>
      <c r="I56" s="18">
        <f t="shared" si="19"/>
        <v>3.5175879396984924E-2</v>
      </c>
      <c r="J56" s="19">
        <f t="shared" si="2"/>
        <v>0.38399999999999973</v>
      </c>
      <c r="K56" s="21">
        <f t="shared" si="3"/>
        <v>1983125.2030326605</v>
      </c>
      <c r="L56" s="21">
        <f t="shared" si="4"/>
        <v>133769.65231228285</v>
      </c>
      <c r="N56" s="1">
        <v>44</v>
      </c>
      <c r="O56" s="3">
        <f t="shared" si="20"/>
        <v>16797197.986866344</v>
      </c>
      <c r="P56" s="3">
        <f t="shared" si="22"/>
        <v>6998.8324945276436</v>
      </c>
      <c r="Q56" s="3">
        <f t="shared" si="5"/>
        <v>6998.8324945276436</v>
      </c>
      <c r="R56" s="3">
        <v>0</v>
      </c>
      <c r="S56" s="3">
        <f t="shared" si="6"/>
        <v>126770.81981775521</v>
      </c>
      <c r="T56" s="3">
        <f t="shared" si="23"/>
        <v>41992.994967165861</v>
      </c>
      <c r="U56" s="3">
        <f t="shared" si="8"/>
        <v>126770.81981775521</v>
      </c>
      <c r="V56" s="3">
        <f t="shared" si="9"/>
        <v>41992.994967165861</v>
      </c>
      <c r="W56" s="3">
        <f t="shared" si="10"/>
        <v>0</v>
      </c>
      <c r="X56" s="3">
        <f t="shared" si="11"/>
        <v>84777.824850589357</v>
      </c>
      <c r="Y56" s="3">
        <f t="shared" si="12"/>
        <v>1983125.2030326605</v>
      </c>
      <c r="Z56" s="3">
        <f t="shared" si="13"/>
        <v>521098.03762229031</v>
      </c>
      <c r="AA56" s="3">
        <f t="shared" si="14"/>
        <v>2504223.240654951</v>
      </c>
      <c r="AB56" s="3">
        <f t="shared" si="15"/>
        <v>14292974.746211393</v>
      </c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>
        <v>10000000</v>
      </c>
      <c r="AQ56" s="3">
        <f t="shared" si="16"/>
        <v>84777.824850589357</v>
      </c>
      <c r="AR56" s="3">
        <f t="shared" si="17"/>
        <v>84777.824850589357</v>
      </c>
      <c r="AS56" s="3">
        <f t="shared" si="18"/>
        <v>84777.824850589357</v>
      </c>
      <c r="AT56" s="3">
        <f t="shared" si="21"/>
        <v>0</v>
      </c>
    </row>
    <row r="57" spans="1:46" ht="14.5" x14ac:dyDescent="0.35">
      <c r="A57" s="1">
        <v>45</v>
      </c>
      <c r="B57" s="3">
        <v>4630270.6627670182</v>
      </c>
      <c r="C57" s="3">
        <v>295856.80569520255</v>
      </c>
      <c r="E57" s="19">
        <v>8.3000000000000032E-2</v>
      </c>
      <c r="I57" s="18">
        <f t="shared" si="19"/>
        <v>3.6458333333333336E-2</v>
      </c>
      <c r="J57" s="19">
        <f t="shared" si="2"/>
        <v>0.36999999999999972</v>
      </c>
      <c r="K57" s="21">
        <f t="shared" si="3"/>
        <v>1778023.9345025336</v>
      </c>
      <c r="L57" s="21">
        <f t="shared" si="4"/>
        <v>113609.0133869577</v>
      </c>
      <c r="N57" s="1">
        <v>45</v>
      </c>
      <c r="O57" s="3">
        <f t="shared" si="20"/>
        <v>14292974.746211393</v>
      </c>
      <c r="P57" s="3">
        <f t="shared" si="22"/>
        <v>5955.4061442547472</v>
      </c>
      <c r="Q57" s="3">
        <f t="shared" si="5"/>
        <v>5955.4061442547472</v>
      </c>
      <c r="R57" s="3">
        <v>0</v>
      </c>
      <c r="S57" s="3">
        <f t="shared" si="6"/>
        <v>107653.60724270294</v>
      </c>
      <c r="T57" s="3">
        <f t="shared" si="23"/>
        <v>35732.436865528485</v>
      </c>
      <c r="U57" s="3">
        <f t="shared" si="8"/>
        <v>107653.60724270294</v>
      </c>
      <c r="V57" s="3">
        <f t="shared" si="9"/>
        <v>35732.436865528485</v>
      </c>
      <c r="W57" s="3">
        <f t="shared" si="10"/>
        <v>0</v>
      </c>
      <c r="X57" s="3">
        <f t="shared" si="11"/>
        <v>71921.170377174451</v>
      </c>
      <c r="Y57" s="3">
        <f t="shared" si="12"/>
        <v>1778023.9345025336</v>
      </c>
      <c r="Z57" s="3">
        <f t="shared" si="13"/>
        <v>456274.24834355223</v>
      </c>
      <c r="AA57" s="3">
        <f t="shared" si="14"/>
        <v>2234298.1828460861</v>
      </c>
      <c r="AB57" s="3">
        <f t="shared" si="15"/>
        <v>12058676.563365307</v>
      </c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>
        <v>10000000</v>
      </c>
      <c r="AQ57" s="3">
        <f t="shared" si="16"/>
        <v>71921.170377174451</v>
      </c>
      <c r="AR57" s="3">
        <f t="shared" si="17"/>
        <v>71921.170377174451</v>
      </c>
      <c r="AS57" s="3">
        <f t="shared" si="18"/>
        <v>71921.170377174451</v>
      </c>
      <c r="AT57" s="3">
        <f t="shared" si="21"/>
        <v>0</v>
      </c>
    </row>
    <row r="58" spans="1:46" ht="14.5" x14ac:dyDescent="0.35">
      <c r="A58" s="1">
        <v>46</v>
      </c>
      <c r="B58" s="3">
        <v>4325556.7620587163</v>
      </c>
      <c r="C58" s="3">
        <v>258588.85290822457</v>
      </c>
      <c r="E58" s="19">
        <v>8.3100000000000035E-2</v>
      </c>
      <c r="I58" s="18">
        <f t="shared" si="19"/>
        <v>3.783783783783784E-2</v>
      </c>
      <c r="J58" s="19">
        <f t="shared" si="2"/>
        <v>0.35599999999999971</v>
      </c>
      <c r="K58" s="21">
        <f t="shared" si="3"/>
        <v>1600456.0019617239</v>
      </c>
      <c r="L58" s="21">
        <f t="shared" si="4"/>
        <v>95677.875576043021</v>
      </c>
      <c r="N58" s="1">
        <v>46</v>
      </c>
      <c r="O58" s="3">
        <f t="shared" si="20"/>
        <v>12058676.563365307</v>
      </c>
      <c r="P58" s="3">
        <f t="shared" si="22"/>
        <v>5024.4485680688776</v>
      </c>
      <c r="Q58" s="3">
        <f t="shared" si="5"/>
        <v>5024.4485680688776</v>
      </c>
      <c r="R58" s="3">
        <v>0</v>
      </c>
      <c r="S58" s="3">
        <f t="shared" si="6"/>
        <v>90653.42700797414</v>
      </c>
      <c r="T58" s="3">
        <f t="shared" si="23"/>
        <v>30146.691408413266</v>
      </c>
      <c r="U58" s="3">
        <f t="shared" si="8"/>
        <v>90653.42700797414</v>
      </c>
      <c r="V58" s="3">
        <f t="shared" si="9"/>
        <v>30146.691408413266</v>
      </c>
      <c r="W58" s="3">
        <f t="shared" si="10"/>
        <v>0</v>
      </c>
      <c r="X58" s="3">
        <f t="shared" si="11"/>
        <v>60506.735599560874</v>
      </c>
      <c r="Y58" s="3">
        <f t="shared" si="12"/>
        <v>1600456.0019617239</v>
      </c>
      <c r="Z58" s="3">
        <f t="shared" si="13"/>
        <v>395716.4536747302</v>
      </c>
      <c r="AA58" s="3">
        <f t="shared" si="14"/>
        <v>1996172.455636454</v>
      </c>
      <c r="AB58" s="3">
        <f t="shared" si="15"/>
        <v>10062504.107728852</v>
      </c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>
        <v>10000000</v>
      </c>
      <c r="AQ58" s="3">
        <f t="shared" si="16"/>
        <v>60506.735599560874</v>
      </c>
      <c r="AR58" s="3">
        <f t="shared" si="17"/>
        <v>60506.735599560874</v>
      </c>
      <c r="AS58" s="3">
        <f t="shared" si="18"/>
        <v>60506.735599560874</v>
      </c>
      <c r="AT58" s="3">
        <f t="shared" si="21"/>
        <v>0</v>
      </c>
    </row>
    <row r="59" spans="1:46" ht="14.5" x14ac:dyDescent="0.35">
      <c r="A59" s="1">
        <v>47</v>
      </c>
      <c r="B59" s="3">
        <v>4039026.3400027626</v>
      </c>
      <c r="C59" s="3">
        <v>223876.53030212456</v>
      </c>
      <c r="E59" s="19">
        <v>8.3200000000000038E-2</v>
      </c>
      <c r="I59" s="18">
        <f t="shared" si="19"/>
        <v>3.9325842696629219E-2</v>
      </c>
      <c r="J59" s="19">
        <f t="shared" si="2"/>
        <v>0.34199999999999975</v>
      </c>
      <c r="K59" s="21">
        <f t="shared" si="3"/>
        <v>1437893.3770409822</v>
      </c>
      <c r="L59" s="21">
        <f t="shared" si="4"/>
        <v>79700.044787556282</v>
      </c>
      <c r="N59" s="1">
        <v>47</v>
      </c>
      <c r="O59" s="3">
        <f t="shared" si="20"/>
        <v>10062504.107728852</v>
      </c>
      <c r="P59" s="3">
        <f t="shared" si="22"/>
        <v>4192.7100448870215</v>
      </c>
      <c r="Q59" s="3">
        <f t="shared" si="5"/>
        <v>4192.7100448870215</v>
      </c>
      <c r="R59" s="3">
        <v>0</v>
      </c>
      <c r="S59" s="3">
        <f t="shared" si="6"/>
        <v>75507.334742669264</v>
      </c>
      <c r="T59" s="3">
        <f t="shared" si="23"/>
        <v>25156.260269322131</v>
      </c>
      <c r="U59" s="3">
        <f t="shared" si="8"/>
        <v>75507.334742669264</v>
      </c>
      <c r="V59" s="3">
        <f t="shared" si="9"/>
        <v>25156.260269322131</v>
      </c>
      <c r="W59" s="3">
        <f t="shared" si="10"/>
        <v>0</v>
      </c>
      <c r="X59" s="3">
        <f t="shared" si="11"/>
        <v>50351.074473347137</v>
      </c>
      <c r="Y59" s="3">
        <f t="shared" si="12"/>
        <v>1437893.3770409822</v>
      </c>
      <c r="Z59" s="3">
        <f t="shared" si="13"/>
        <v>339170.08491469157</v>
      </c>
      <c r="AA59" s="3">
        <f t="shared" si="14"/>
        <v>1777063.4619556738</v>
      </c>
      <c r="AB59" s="3">
        <f t="shared" si="15"/>
        <v>8285440.645773178</v>
      </c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>
        <v>10000000</v>
      </c>
      <c r="AQ59" s="3">
        <f t="shared" si="16"/>
        <v>50351.074473347137</v>
      </c>
      <c r="AR59" s="3">
        <f t="shared" si="17"/>
        <v>50351.074473347137</v>
      </c>
      <c r="AS59" s="3">
        <f t="shared" si="18"/>
        <v>50351.074473347137</v>
      </c>
      <c r="AT59" s="3">
        <f t="shared" si="21"/>
        <v>0</v>
      </c>
    </row>
    <row r="60" spans="1:46" ht="14.5" x14ac:dyDescent="0.35">
      <c r="A60" s="1">
        <v>48</v>
      </c>
      <c r="B60" s="3">
        <v>3747998.0216689203</v>
      </c>
      <c r="C60" s="3">
        <v>191605.28070568832</v>
      </c>
      <c r="E60" s="19">
        <v>8.3300000000000041E-2</v>
      </c>
      <c r="I60" s="18">
        <f t="shared" si="19"/>
        <v>4.0935672514619888E-2</v>
      </c>
      <c r="J60" s="19">
        <f t="shared" si="2"/>
        <v>0.32799999999999974</v>
      </c>
      <c r="K60" s="21">
        <f t="shared" si="3"/>
        <v>1281815.3234107697</v>
      </c>
      <c r="L60" s="21">
        <f t="shared" si="4"/>
        <v>65529.006001345355</v>
      </c>
      <c r="N60" s="1">
        <v>48</v>
      </c>
      <c r="O60" s="3">
        <f t="shared" si="20"/>
        <v>8285440.645773178</v>
      </c>
      <c r="P60" s="3">
        <f t="shared" si="22"/>
        <v>3452.266935738824</v>
      </c>
      <c r="Q60" s="3">
        <f t="shared" si="5"/>
        <v>3452.266935738824</v>
      </c>
      <c r="R60" s="3">
        <v>0</v>
      </c>
      <c r="S60" s="3">
        <f t="shared" si="6"/>
        <v>62076.739065606533</v>
      </c>
      <c r="T60" s="3">
        <f t="shared" si="23"/>
        <v>20713.601614432944</v>
      </c>
      <c r="U60" s="3">
        <f t="shared" si="8"/>
        <v>62076.739065606533</v>
      </c>
      <c r="V60" s="3">
        <f t="shared" si="9"/>
        <v>20713.601614432944</v>
      </c>
      <c r="W60" s="3">
        <f t="shared" si="10"/>
        <v>0</v>
      </c>
      <c r="X60" s="3">
        <f t="shared" si="11"/>
        <v>41363.137451173592</v>
      </c>
      <c r="Y60" s="3">
        <f t="shared" si="12"/>
        <v>1281815.3234107697</v>
      </c>
      <c r="Z60" s="3">
        <f t="shared" si="13"/>
        <v>286698.11261132668</v>
      </c>
      <c r="AA60" s="3">
        <f t="shared" si="14"/>
        <v>1568513.4360220963</v>
      </c>
      <c r="AB60" s="3">
        <f t="shared" si="15"/>
        <v>6716927.2097510817</v>
      </c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>
        <v>10000000</v>
      </c>
      <c r="AQ60" s="3">
        <f t="shared" si="16"/>
        <v>41363.137451173592</v>
      </c>
      <c r="AR60" s="3">
        <f t="shared" si="17"/>
        <v>41363.137451173592</v>
      </c>
      <c r="AS60" s="3">
        <f t="shared" si="18"/>
        <v>41363.137451173592</v>
      </c>
      <c r="AT60" s="3">
        <f t="shared" si="21"/>
        <v>0</v>
      </c>
    </row>
    <row r="61" spans="1:46" ht="14.5" x14ac:dyDescent="0.35">
      <c r="A61" s="1">
        <v>49</v>
      </c>
      <c r="B61" s="3">
        <v>3394370.7244836921</v>
      </c>
      <c r="C61" s="3">
        <v>161731.31639682202</v>
      </c>
      <c r="E61" s="19">
        <v>8.3400000000000044E-2</v>
      </c>
      <c r="I61" s="18">
        <f t="shared" si="19"/>
        <v>4.2682926829268296E-2</v>
      </c>
      <c r="J61" s="19">
        <f t="shared" si="2"/>
        <v>0.31399999999999972</v>
      </c>
      <c r="K61" s="21">
        <f t="shared" si="3"/>
        <v>1113353.59763065</v>
      </c>
      <c r="L61" s="21">
        <f t="shared" si="4"/>
        <v>53047.871778157576</v>
      </c>
      <c r="N61" s="1">
        <v>49</v>
      </c>
      <c r="O61" s="3">
        <f t="shared" si="20"/>
        <v>6716927.2097510817</v>
      </c>
      <c r="P61" s="3">
        <f t="shared" si="22"/>
        <v>2798.7196707296175</v>
      </c>
      <c r="Q61" s="3">
        <f t="shared" si="5"/>
        <v>2798.7196707296175</v>
      </c>
      <c r="R61" s="3">
        <v>0</v>
      </c>
      <c r="S61" s="3">
        <f t="shared" si="6"/>
        <v>50249.152107427959</v>
      </c>
      <c r="T61" s="3">
        <f t="shared" si="23"/>
        <v>16792.318024377706</v>
      </c>
      <c r="U61" s="3">
        <f t="shared" si="8"/>
        <v>50249.152107427959</v>
      </c>
      <c r="V61" s="3">
        <f t="shared" si="9"/>
        <v>16792.318024377706</v>
      </c>
      <c r="W61" s="3">
        <f t="shared" si="10"/>
        <v>0</v>
      </c>
      <c r="X61" s="3">
        <f t="shared" si="11"/>
        <v>33456.834083050257</v>
      </c>
      <c r="Y61" s="3">
        <f t="shared" si="12"/>
        <v>1113353.59763065</v>
      </c>
      <c r="Z61" s="3">
        <f t="shared" si="13"/>
        <v>239176.92246855504</v>
      </c>
      <c r="AA61" s="3">
        <f t="shared" si="14"/>
        <v>1352530.520099205</v>
      </c>
      <c r="AB61" s="3">
        <f t="shared" si="15"/>
        <v>5364396.6896518767</v>
      </c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>
        <v>10000000</v>
      </c>
      <c r="AQ61" s="3">
        <f t="shared" si="16"/>
        <v>33456.834083050257</v>
      </c>
      <c r="AR61" s="3">
        <f t="shared" si="17"/>
        <v>33456.834083050257</v>
      </c>
      <c r="AS61" s="3">
        <f t="shared" si="18"/>
        <v>33456.834083050257</v>
      </c>
      <c r="AT61" s="3">
        <f t="shared" si="21"/>
        <v>0</v>
      </c>
    </row>
    <row r="62" spans="1:46" ht="14.5" x14ac:dyDescent="0.35">
      <c r="A62" s="1">
        <v>50</v>
      </c>
      <c r="B62" s="3">
        <v>3033016.9301119586</v>
      </c>
      <c r="C62" s="3">
        <v>134773.85450022138</v>
      </c>
      <c r="E62" s="19">
        <v>8.3500000000000046E-2</v>
      </c>
      <c r="I62" s="18">
        <f t="shared" si="19"/>
        <v>4.4585987261146508E-2</v>
      </c>
      <c r="J62" s="19">
        <f t="shared" si="2"/>
        <v>0.29999999999999977</v>
      </c>
      <c r="K62" s="21">
        <f t="shared" si="3"/>
        <v>952367.3160551542</v>
      </c>
      <c r="L62" s="21">
        <f t="shared" si="4"/>
        <v>42318.990313069473</v>
      </c>
      <c r="N62" s="1">
        <v>50</v>
      </c>
      <c r="O62" s="3">
        <f t="shared" si="20"/>
        <v>5364396.6896518767</v>
      </c>
      <c r="P62" s="3">
        <f t="shared" si="22"/>
        <v>2235.1652873549488</v>
      </c>
      <c r="Q62" s="3">
        <f t="shared" si="5"/>
        <v>2235.1652873549488</v>
      </c>
      <c r="R62" s="3">
        <v>0</v>
      </c>
      <c r="S62" s="3">
        <f t="shared" si="6"/>
        <v>40083.825025714526</v>
      </c>
      <c r="T62" s="3">
        <f t="shared" si="23"/>
        <v>13410.991724129692</v>
      </c>
      <c r="U62" s="3">
        <f t="shared" si="8"/>
        <v>40083.825025714526</v>
      </c>
      <c r="V62" s="3">
        <f t="shared" si="9"/>
        <v>13410.991724129692</v>
      </c>
      <c r="W62" s="3">
        <f t="shared" si="10"/>
        <v>0</v>
      </c>
      <c r="X62" s="3">
        <f t="shared" si="11"/>
        <v>26672.833301584833</v>
      </c>
      <c r="Y62" s="3">
        <f t="shared" si="12"/>
        <v>952367.3160551542</v>
      </c>
      <c r="Z62" s="3">
        <f t="shared" si="13"/>
        <v>196714.68544698766</v>
      </c>
      <c r="AA62" s="3">
        <f t="shared" si="14"/>
        <v>1149082.0015021418</v>
      </c>
      <c r="AB62" s="3">
        <f t="shared" si="15"/>
        <v>4215314.6881497353</v>
      </c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>
        <v>10000000</v>
      </c>
      <c r="AQ62" s="3">
        <f t="shared" si="16"/>
        <v>26672.833301584833</v>
      </c>
      <c r="AR62" s="3">
        <f t="shared" si="17"/>
        <v>26672.833301584833</v>
      </c>
      <c r="AS62" s="3">
        <f t="shared" si="18"/>
        <v>26672.833301584833</v>
      </c>
      <c r="AT62" s="3">
        <f t="shared" si="21"/>
        <v>0</v>
      </c>
    </row>
    <row r="63" spans="1:46" ht="14.5" x14ac:dyDescent="0.35">
      <c r="A63" s="1">
        <v>51</v>
      </c>
      <c r="B63" s="3">
        <v>2694658.9604865196</v>
      </c>
      <c r="C63" s="3">
        <v>110796.56925430387</v>
      </c>
      <c r="E63" s="19">
        <v>8.3600000000000049E-2</v>
      </c>
      <c r="I63" s="18">
        <f t="shared" si="19"/>
        <v>4.6666666666666676E-2</v>
      </c>
      <c r="J63" s="19">
        <f t="shared" si="2"/>
        <v>0.28599999999999981</v>
      </c>
      <c r="K63" s="21">
        <f t="shared" si="3"/>
        <v>808397.68814595521</v>
      </c>
      <c r="L63" s="21">
        <f t="shared" si="4"/>
        <v>33238.970776291135</v>
      </c>
      <c r="N63" s="1">
        <v>51</v>
      </c>
      <c r="O63" s="3">
        <f t="shared" si="20"/>
        <v>4215314.6881497353</v>
      </c>
      <c r="P63" s="3">
        <f t="shared" si="22"/>
        <v>1756.3811200623898</v>
      </c>
      <c r="Q63" s="3">
        <f t="shared" si="5"/>
        <v>1756.3811200623898</v>
      </c>
      <c r="R63" s="3">
        <v>0</v>
      </c>
      <c r="S63" s="3">
        <f t="shared" si="6"/>
        <v>31482.589656228745</v>
      </c>
      <c r="T63" s="3">
        <f t="shared" si="23"/>
        <v>10538.286720374339</v>
      </c>
      <c r="U63" s="3">
        <f t="shared" si="8"/>
        <v>31482.589656228745</v>
      </c>
      <c r="V63" s="3">
        <f t="shared" si="9"/>
        <v>10538.286720374339</v>
      </c>
      <c r="W63" s="3">
        <f t="shared" si="10"/>
        <v>0</v>
      </c>
      <c r="X63" s="3">
        <f t="shared" si="11"/>
        <v>20944.302935854408</v>
      </c>
      <c r="Y63" s="3">
        <f t="shared" si="12"/>
        <v>808397.68814595521</v>
      </c>
      <c r="Z63" s="3">
        <f t="shared" si="13"/>
        <v>158989.46000017645</v>
      </c>
      <c r="AA63" s="3">
        <f t="shared" si="14"/>
        <v>967387.14814613166</v>
      </c>
      <c r="AB63" s="3">
        <f t="shared" si="15"/>
        <v>3247927.5400036038</v>
      </c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>
        <v>10000000</v>
      </c>
      <c r="AQ63" s="3">
        <f t="shared" si="16"/>
        <v>20944.302935854408</v>
      </c>
      <c r="AR63" s="3">
        <f t="shared" si="17"/>
        <v>20944.302935854408</v>
      </c>
      <c r="AS63" s="3">
        <f t="shared" si="18"/>
        <v>20944.302935854408</v>
      </c>
      <c r="AT63" s="3">
        <f t="shared" si="21"/>
        <v>0</v>
      </c>
    </row>
    <row r="64" spans="1:46" ht="14.5" x14ac:dyDescent="0.35">
      <c r="A64" s="1">
        <v>52</v>
      </c>
      <c r="B64" s="3">
        <v>2353387.3263886929</v>
      </c>
      <c r="C64" s="3">
        <v>89555.456246483169</v>
      </c>
      <c r="E64" s="19">
        <v>8.3700000000000052E-2</v>
      </c>
      <c r="I64" s="18">
        <f t="shared" si="19"/>
        <v>4.8951048951048945E-2</v>
      </c>
      <c r="J64" s="19">
        <f t="shared" si="2"/>
        <v>0.2719999999999998</v>
      </c>
      <c r="K64" s="21">
        <f t="shared" si="3"/>
        <v>673068.77534716576</v>
      </c>
      <c r="L64" s="21">
        <f t="shared" si="4"/>
        <v>25612.86048649417</v>
      </c>
      <c r="N64" s="1">
        <v>52</v>
      </c>
      <c r="O64" s="3">
        <f t="shared" si="20"/>
        <v>3247927.5400036038</v>
      </c>
      <c r="P64" s="3">
        <f t="shared" si="22"/>
        <v>1353.3031416681683</v>
      </c>
      <c r="Q64" s="3">
        <f t="shared" si="5"/>
        <v>1353.3031416681683</v>
      </c>
      <c r="R64" s="3">
        <v>0</v>
      </c>
      <c r="S64" s="3">
        <f t="shared" si="6"/>
        <v>24259.557344826</v>
      </c>
      <c r="T64" s="3">
        <f t="shared" si="23"/>
        <v>8119.81885000901</v>
      </c>
      <c r="U64" s="3">
        <f t="shared" si="8"/>
        <v>24259.557344826</v>
      </c>
      <c r="V64" s="3">
        <f t="shared" si="9"/>
        <v>8119.81885000901</v>
      </c>
      <c r="W64" s="3">
        <f t="shared" si="10"/>
        <v>0</v>
      </c>
      <c r="X64" s="3">
        <f t="shared" si="11"/>
        <v>16139.738494816989</v>
      </c>
      <c r="Y64" s="3">
        <f t="shared" si="12"/>
        <v>673068.77534716576</v>
      </c>
      <c r="Z64" s="3">
        <f t="shared" si="13"/>
        <v>126042.03743073471</v>
      </c>
      <c r="AA64" s="3">
        <f t="shared" si="14"/>
        <v>799110.81277790049</v>
      </c>
      <c r="AB64" s="3">
        <f t="shared" si="15"/>
        <v>2448816.7272257032</v>
      </c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>
        <v>10000000</v>
      </c>
      <c r="AQ64" s="3">
        <f t="shared" si="16"/>
        <v>16139.738494816989</v>
      </c>
      <c r="AR64" s="3">
        <f t="shared" si="17"/>
        <v>16139.738494816989</v>
      </c>
      <c r="AS64" s="3">
        <f t="shared" si="18"/>
        <v>16139.738494816989</v>
      </c>
      <c r="AT64" s="3">
        <f t="shared" si="21"/>
        <v>0</v>
      </c>
    </row>
    <row r="65" spans="1:46" ht="14.5" x14ac:dyDescent="0.35">
      <c r="A65" s="1">
        <v>53</v>
      </c>
      <c r="B65" s="3">
        <v>2019514.4715199247</v>
      </c>
      <c r="C65" s="3">
        <v>71035.994668861473</v>
      </c>
      <c r="E65" s="19">
        <v>8.3800000000000055E-2</v>
      </c>
      <c r="I65" s="18">
        <f t="shared" si="19"/>
        <v>5.1470588235294115E-2</v>
      </c>
      <c r="J65" s="19">
        <f t="shared" si="2"/>
        <v>0.25799999999999979</v>
      </c>
      <c r="K65" s="21">
        <f t="shared" si="3"/>
        <v>549307.93625341915</v>
      </c>
      <c r="L65" s="21">
        <f t="shared" si="4"/>
        <v>19321.790549930305</v>
      </c>
      <c r="N65" s="1">
        <v>53</v>
      </c>
      <c r="O65" s="3">
        <f t="shared" si="20"/>
        <v>2448816.7272257032</v>
      </c>
      <c r="P65" s="3">
        <f t="shared" si="22"/>
        <v>1020.3403030107097</v>
      </c>
      <c r="Q65" s="3">
        <f t="shared" si="5"/>
        <v>1020.3403030107097</v>
      </c>
      <c r="R65" s="3">
        <v>0</v>
      </c>
      <c r="S65" s="3">
        <f t="shared" si="6"/>
        <v>18301.450246919594</v>
      </c>
      <c r="T65" s="3">
        <f t="shared" si="23"/>
        <v>6122.0418180642582</v>
      </c>
      <c r="U65" s="3">
        <f t="shared" si="8"/>
        <v>18301.450246919594</v>
      </c>
      <c r="V65" s="3">
        <f t="shared" si="9"/>
        <v>6122.0418180642582</v>
      </c>
      <c r="W65" s="3">
        <f t="shared" si="10"/>
        <v>0</v>
      </c>
      <c r="X65" s="3">
        <f t="shared" si="11"/>
        <v>12179.408428855335</v>
      </c>
      <c r="Y65" s="3">
        <f t="shared" si="12"/>
        <v>549307.93625341915</v>
      </c>
      <c r="Z65" s="3">
        <f t="shared" si="13"/>
        <v>97768.834829455795</v>
      </c>
      <c r="AA65" s="3">
        <f t="shared" si="14"/>
        <v>647076.77108287497</v>
      </c>
      <c r="AB65" s="3">
        <f t="shared" si="15"/>
        <v>1801739.9561428283</v>
      </c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>
        <v>10000000</v>
      </c>
      <c r="AQ65" s="3">
        <f t="shared" si="16"/>
        <v>12179.408428855335</v>
      </c>
      <c r="AR65" s="3">
        <f t="shared" si="17"/>
        <v>12179.408428855335</v>
      </c>
      <c r="AS65" s="3">
        <f t="shared" si="18"/>
        <v>12179.408428855335</v>
      </c>
      <c r="AT65" s="3">
        <f t="shared" si="21"/>
        <v>0</v>
      </c>
    </row>
    <row r="66" spans="1:46" ht="14.5" x14ac:dyDescent="0.35">
      <c r="A66" s="1">
        <v>54</v>
      </c>
      <c r="B66" s="3">
        <v>1686870.1617079207</v>
      </c>
      <c r="C66" s="3">
        <v>55176.063010557329</v>
      </c>
      <c r="E66" s="19">
        <v>8.3900000000000058E-2</v>
      </c>
      <c r="I66" s="18">
        <f t="shared" si="19"/>
        <v>5.4263565891472867E-2</v>
      </c>
      <c r="J66" s="19">
        <f t="shared" si="2"/>
        <v>0.2439999999999998</v>
      </c>
      <c r="K66" s="21">
        <f t="shared" si="3"/>
        <v>435212.50172064319</v>
      </c>
      <c r="L66" s="21">
        <f t="shared" si="4"/>
        <v>14235.42425672378</v>
      </c>
      <c r="N66" s="1">
        <v>54</v>
      </c>
      <c r="O66" s="3">
        <f t="shared" si="20"/>
        <v>1801739.9561428283</v>
      </c>
      <c r="P66" s="3">
        <f t="shared" si="22"/>
        <v>750.7249817261785</v>
      </c>
      <c r="Q66" s="3">
        <f t="shared" si="5"/>
        <v>750.7249817261785</v>
      </c>
      <c r="R66" s="3">
        <v>0</v>
      </c>
      <c r="S66" s="3">
        <f t="shared" si="6"/>
        <v>13484.699274997602</v>
      </c>
      <c r="T66" s="3">
        <f t="shared" si="23"/>
        <v>4504.3498903570708</v>
      </c>
      <c r="U66" s="3">
        <f t="shared" si="8"/>
        <v>13484.699274997602</v>
      </c>
      <c r="V66" s="3">
        <f t="shared" si="9"/>
        <v>4504.3498903570708</v>
      </c>
      <c r="W66" s="3">
        <f t="shared" si="10"/>
        <v>0</v>
      </c>
      <c r="X66" s="3">
        <f t="shared" si="11"/>
        <v>8980.3493846405308</v>
      </c>
      <c r="Y66" s="3">
        <f t="shared" si="12"/>
        <v>435212.50172064319</v>
      </c>
      <c r="Z66" s="3">
        <f t="shared" si="13"/>
        <v>74152.652565544937</v>
      </c>
      <c r="AA66" s="3">
        <f t="shared" si="14"/>
        <v>509365.15428618813</v>
      </c>
      <c r="AB66" s="3">
        <f t="shared" si="15"/>
        <v>1292374.8018566403</v>
      </c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>
        <v>10000000</v>
      </c>
      <c r="AQ66" s="3">
        <f t="shared" si="16"/>
        <v>8980.3493846405308</v>
      </c>
      <c r="AR66" s="3">
        <f t="shared" si="17"/>
        <v>8980.3493846405308</v>
      </c>
      <c r="AS66" s="3">
        <f t="shared" si="18"/>
        <v>8980.3493846405308</v>
      </c>
      <c r="AT66" s="3">
        <f t="shared" si="21"/>
        <v>0</v>
      </c>
    </row>
    <row r="67" spans="1:46" ht="14.5" x14ac:dyDescent="0.35">
      <c r="A67" s="1">
        <v>55</v>
      </c>
      <c r="B67" s="3">
        <v>1335691.0525682529</v>
      </c>
      <c r="C67" s="3">
        <v>41975.021136910356</v>
      </c>
      <c r="E67" s="19">
        <v>8.4000000000000061E-2</v>
      </c>
      <c r="I67" s="18">
        <f t="shared" si="19"/>
        <v>5.737704918032787E-2</v>
      </c>
      <c r="J67" s="19">
        <f t="shared" si="2"/>
        <v>0.22999999999999982</v>
      </c>
      <c r="K67" s="21">
        <f t="shared" si="3"/>
        <v>325908.61682665342</v>
      </c>
      <c r="L67" s="21">
        <f t="shared" si="4"/>
        <v>10241.905157406118</v>
      </c>
      <c r="N67" s="1">
        <v>55</v>
      </c>
      <c r="O67" s="3">
        <f t="shared" si="20"/>
        <v>1292374.8018566403</v>
      </c>
      <c r="P67" s="3">
        <f t="shared" si="22"/>
        <v>538.48950077360007</v>
      </c>
      <c r="Q67" s="3">
        <f t="shared" si="5"/>
        <v>538.48950077360007</v>
      </c>
      <c r="R67" s="3">
        <v>0</v>
      </c>
      <c r="S67" s="3">
        <f t="shared" si="6"/>
        <v>9703.4156566325182</v>
      </c>
      <c r="T67" s="3">
        <f t="shared" si="23"/>
        <v>3230.9370046416007</v>
      </c>
      <c r="U67" s="3">
        <f t="shared" si="8"/>
        <v>9703.4156566325182</v>
      </c>
      <c r="V67" s="3">
        <f t="shared" si="9"/>
        <v>3230.9370046416007</v>
      </c>
      <c r="W67" s="3">
        <f t="shared" si="10"/>
        <v>0</v>
      </c>
      <c r="X67" s="3">
        <f t="shared" si="11"/>
        <v>6472.4786519909176</v>
      </c>
      <c r="Y67" s="3">
        <f t="shared" si="12"/>
        <v>325908.61682665342</v>
      </c>
      <c r="Z67" s="3">
        <f t="shared" si="13"/>
        <v>55452.977829589407</v>
      </c>
      <c r="AA67" s="3">
        <f t="shared" si="14"/>
        <v>381361.59465624281</v>
      </c>
      <c r="AB67" s="3">
        <f t="shared" si="15"/>
        <v>911013.2072003975</v>
      </c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>
        <v>10000000</v>
      </c>
      <c r="AQ67" s="3">
        <f t="shared" si="16"/>
        <v>6472.4786519909176</v>
      </c>
      <c r="AR67" s="3">
        <f t="shared" si="17"/>
        <v>6472.4786519909176</v>
      </c>
      <c r="AS67" s="3">
        <f t="shared" si="18"/>
        <v>6472.4786519909176</v>
      </c>
      <c r="AT67" s="3">
        <f t="shared" si="21"/>
        <v>0</v>
      </c>
    </row>
    <row r="68" spans="1:46" ht="14.5" x14ac:dyDescent="0.35">
      <c r="A68" s="1">
        <v>56</v>
      </c>
      <c r="B68" s="3">
        <v>978691.3693768644</v>
      </c>
      <c r="C68" s="3">
        <v>31512.283924912379</v>
      </c>
      <c r="E68" s="19">
        <v>8.4100000000000064E-2</v>
      </c>
      <c r="I68" s="18">
        <f t="shared" si="19"/>
        <v>6.0869565217391314E-2</v>
      </c>
      <c r="J68" s="19">
        <f t="shared" si="2"/>
        <v>0.21599999999999983</v>
      </c>
      <c r="K68" s="21">
        <f t="shared" si="3"/>
        <v>225099.01495667864</v>
      </c>
      <c r="L68" s="21">
        <f t="shared" si="4"/>
        <v>7247.8253027298415</v>
      </c>
      <c r="N68" s="1">
        <v>56</v>
      </c>
      <c r="O68" s="3">
        <f t="shared" si="20"/>
        <v>911013.2072003975</v>
      </c>
      <c r="P68" s="3">
        <f t="shared" si="22"/>
        <v>379.58883633349893</v>
      </c>
      <c r="Q68" s="3">
        <f t="shared" si="5"/>
        <v>379.58883633349893</v>
      </c>
      <c r="R68" s="3">
        <v>0</v>
      </c>
      <c r="S68" s="3">
        <f t="shared" si="6"/>
        <v>6868.2364663963426</v>
      </c>
      <c r="T68" s="3">
        <f t="shared" si="23"/>
        <v>2277.5330180009937</v>
      </c>
      <c r="U68" s="3">
        <f t="shared" si="8"/>
        <v>6868.2364663963426</v>
      </c>
      <c r="V68" s="3">
        <f t="shared" si="9"/>
        <v>2277.5330180009937</v>
      </c>
      <c r="W68" s="3">
        <f t="shared" si="10"/>
        <v>0</v>
      </c>
      <c r="X68" s="3">
        <f t="shared" si="11"/>
        <v>4590.7034483953485</v>
      </c>
      <c r="Y68" s="3">
        <f t="shared" si="12"/>
        <v>225099.01495667864</v>
      </c>
      <c r="Z68" s="3">
        <f t="shared" si="13"/>
        <v>41751.298658313332</v>
      </c>
      <c r="AA68" s="3">
        <f t="shared" si="14"/>
        <v>266850.31361499196</v>
      </c>
      <c r="AB68" s="3">
        <f t="shared" si="15"/>
        <v>644162.89358540555</v>
      </c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>
        <v>10000000</v>
      </c>
      <c r="AQ68" s="3">
        <f t="shared" si="16"/>
        <v>4590.7034483953485</v>
      </c>
      <c r="AR68" s="3">
        <f t="shared" si="17"/>
        <v>4590.7034483953485</v>
      </c>
      <c r="AS68" s="3">
        <f t="shared" si="18"/>
        <v>4590.7034483953485</v>
      </c>
      <c r="AT68" s="3">
        <f t="shared" si="21"/>
        <v>0</v>
      </c>
    </row>
    <row r="69" spans="1:46" ht="14.5" x14ac:dyDescent="0.35">
      <c r="A69" s="1">
        <v>57</v>
      </c>
      <c r="B69" s="3">
        <v>687600.4717601788</v>
      </c>
      <c r="C69" s="3">
        <v>23794.813319818048</v>
      </c>
      <c r="E69" s="19">
        <v>8.4200000000000066E-2</v>
      </c>
      <c r="I69" s="18">
        <f t="shared" si="19"/>
        <v>6.4814814814814825E-2</v>
      </c>
      <c r="J69" s="19">
        <f t="shared" si="2"/>
        <v>0.20199999999999982</v>
      </c>
      <c r="K69" s="21">
        <f t="shared" si="3"/>
        <v>148521.7019001985</v>
      </c>
      <c r="L69" s="21">
        <f t="shared" si="4"/>
        <v>5139.6796770806941</v>
      </c>
      <c r="N69" s="1">
        <v>57</v>
      </c>
      <c r="O69" s="3">
        <f t="shared" si="20"/>
        <v>644162.89358540555</v>
      </c>
      <c r="P69" s="3">
        <f t="shared" si="22"/>
        <v>268.40120566058562</v>
      </c>
      <c r="Q69" s="3">
        <f t="shared" si="5"/>
        <v>268.40120566058562</v>
      </c>
      <c r="R69" s="3">
        <v>0</v>
      </c>
      <c r="S69" s="3">
        <f t="shared" si="6"/>
        <v>4871.2784714201089</v>
      </c>
      <c r="T69" s="3">
        <f t="shared" si="23"/>
        <v>1610.4072339635138</v>
      </c>
      <c r="U69" s="3">
        <f t="shared" si="8"/>
        <v>4871.2784714201089</v>
      </c>
      <c r="V69" s="3">
        <f t="shared" si="9"/>
        <v>1610.4072339635138</v>
      </c>
      <c r="W69" s="3">
        <f t="shared" si="10"/>
        <v>0</v>
      </c>
      <c r="X69" s="3">
        <f t="shared" si="11"/>
        <v>3260.8712374565948</v>
      </c>
      <c r="Y69" s="3">
        <f t="shared" si="12"/>
        <v>148521.7019001985</v>
      </c>
      <c r="Z69" s="3">
        <f t="shared" si="13"/>
        <v>32124.892053670836</v>
      </c>
      <c r="AA69" s="3">
        <f t="shared" si="14"/>
        <v>180646.59395386933</v>
      </c>
      <c r="AB69" s="3">
        <f t="shared" si="15"/>
        <v>463516.29963153624</v>
      </c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>
        <v>10000000</v>
      </c>
      <c r="AQ69" s="3">
        <f t="shared" si="16"/>
        <v>3260.8712374565948</v>
      </c>
      <c r="AR69" s="3">
        <f t="shared" si="17"/>
        <v>3260.8712374565948</v>
      </c>
      <c r="AS69" s="3">
        <f t="shared" si="18"/>
        <v>3260.8712374565948</v>
      </c>
      <c r="AT69" s="3">
        <f t="shared" si="21"/>
        <v>0</v>
      </c>
    </row>
    <row r="70" spans="1:46" ht="14.5" x14ac:dyDescent="0.35">
      <c r="A70" s="1">
        <v>58</v>
      </c>
      <c r="B70" s="3">
        <v>468027.64385891159</v>
      </c>
      <c r="C70" s="3">
        <v>18341.636805033049</v>
      </c>
      <c r="E70" s="19">
        <v>8.4300000000000069E-2</v>
      </c>
      <c r="I70" s="18">
        <f t="shared" si="19"/>
        <v>6.9306930693069327E-2</v>
      </c>
      <c r="J70" s="19">
        <f t="shared" si="2"/>
        <v>0.18799999999999981</v>
      </c>
      <c r="K70" s="21">
        <f t="shared" si="3"/>
        <v>94541.584059500063</v>
      </c>
      <c r="L70" s="21">
        <f t="shared" si="4"/>
        <v>3705.0106346166726</v>
      </c>
      <c r="N70" s="1">
        <v>58</v>
      </c>
      <c r="O70" s="3">
        <f t="shared" si="20"/>
        <v>463516.29963153624</v>
      </c>
      <c r="P70" s="3">
        <f t="shared" si="22"/>
        <v>193.13179151314012</v>
      </c>
      <c r="Q70" s="3">
        <f t="shared" si="5"/>
        <v>193.13179151314012</v>
      </c>
      <c r="R70" s="3">
        <v>0</v>
      </c>
      <c r="S70" s="3">
        <f t="shared" si="6"/>
        <v>3511.8788431035327</v>
      </c>
      <c r="T70" s="3">
        <f t="shared" si="23"/>
        <v>1158.7907490788407</v>
      </c>
      <c r="U70" s="3">
        <f t="shared" si="8"/>
        <v>3511.8788431035327</v>
      </c>
      <c r="V70" s="3">
        <f t="shared" si="9"/>
        <v>1158.7907490788407</v>
      </c>
      <c r="W70" s="3">
        <f t="shared" si="10"/>
        <v>0</v>
      </c>
      <c r="X70" s="3">
        <f t="shared" si="11"/>
        <v>2353.0880940246921</v>
      </c>
      <c r="Y70" s="3">
        <f t="shared" si="12"/>
        <v>94541.584059500063</v>
      </c>
      <c r="Z70" s="3">
        <f t="shared" si="13"/>
        <v>25572.505039646079</v>
      </c>
      <c r="AA70" s="3">
        <f t="shared" si="14"/>
        <v>120114.08909914613</v>
      </c>
      <c r="AB70" s="3">
        <f t="shared" si="15"/>
        <v>343402.21053239011</v>
      </c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>
        <v>10000000</v>
      </c>
      <c r="AQ70" s="3">
        <f t="shared" si="16"/>
        <v>2353.0880940246921</v>
      </c>
      <c r="AR70" s="3">
        <f t="shared" si="17"/>
        <v>2353.0880940246921</v>
      </c>
      <c r="AS70" s="3">
        <f t="shared" si="18"/>
        <v>2353.0880940246921</v>
      </c>
      <c r="AT70" s="3">
        <f t="shared" si="21"/>
        <v>0</v>
      </c>
    </row>
    <row r="71" spans="1:46" ht="14.5" x14ac:dyDescent="0.35">
      <c r="A71" s="1">
        <v>59</v>
      </c>
      <c r="B71" s="3">
        <v>374160.54434103268</v>
      </c>
      <c r="C71" s="3">
        <v>14602.806333878654</v>
      </c>
      <c r="E71" s="19">
        <v>8.4400000000000072E-2</v>
      </c>
      <c r="I71" s="18">
        <f t="shared" si="19"/>
        <v>7.4468085106383003E-2</v>
      </c>
      <c r="J71" s="19">
        <f t="shared" si="2"/>
        <v>0.17399999999999982</v>
      </c>
      <c r="K71" s="21">
        <f t="shared" si="3"/>
        <v>70342.18233611407</v>
      </c>
      <c r="L71" s="21">
        <f t="shared" si="4"/>
        <v>2745.3275907691841</v>
      </c>
      <c r="N71" s="1">
        <v>59</v>
      </c>
      <c r="O71" s="3">
        <f t="shared" si="20"/>
        <v>343402.21053239011</v>
      </c>
      <c r="P71" s="3">
        <f t="shared" si="22"/>
        <v>143.08425438849588</v>
      </c>
      <c r="Q71" s="3">
        <f t="shared" si="5"/>
        <v>143.08425438849588</v>
      </c>
      <c r="R71" s="3">
        <v>0</v>
      </c>
      <c r="S71" s="3">
        <f t="shared" si="6"/>
        <v>2602.2433363806881</v>
      </c>
      <c r="T71" s="3">
        <f t="shared" si="23"/>
        <v>858.50552633097527</v>
      </c>
      <c r="U71" s="3">
        <f t="shared" si="8"/>
        <v>2602.2433363806881</v>
      </c>
      <c r="V71" s="3">
        <f t="shared" si="9"/>
        <v>858.50552633097527</v>
      </c>
      <c r="W71" s="3">
        <f t="shared" si="10"/>
        <v>0</v>
      </c>
      <c r="X71" s="3">
        <f t="shared" si="11"/>
        <v>1743.7378100497128</v>
      </c>
      <c r="Y71" s="3">
        <f t="shared" si="12"/>
        <v>70342.18233611407</v>
      </c>
      <c r="Z71" s="3">
        <f t="shared" si="13"/>
        <v>20334.257418871628</v>
      </c>
      <c r="AA71" s="3">
        <f t="shared" si="14"/>
        <v>90676.439754985695</v>
      </c>
      <c r="AB71" s="3">
        <f t="shared" si="15"/>
        <v>252725.77077740442</v>
      </c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>
        <v>10000000</v>
      </c>
      <c r="AQ71" s="3">
        <f t="shared" si="16"/>
        <v>1743.7378100497128</v>
      </c>
      <c r="AR71" s="3">
        <f t="shared" si="17"/>
        <v>1743.7378100497128</v>
      </c>
      <c r="AS71" s="3">
        <f t="shared" si="18"/>
        <v>1743.7378100497128</v>
      </c>
      <c r="AT71" s="3">
        <f t="shared" si="21"/>
        <v>0</v>
      </c>
    </row>
    <row r="72" spans="1:46" ht="14.5" x14ac:dyDescent="0.35">
      <c r="A72" s="1">
        <v>60</v>
      </c>
      <c r="B72" s="3">
        <v>329252.67582841899</v>
      </c>
      <c r="C72" s="3">
        <v>11600.130788790873</v>
      </c>
      <c r="E72" s="19">
        <v>8.4500000000000075E-2</v>
      </c>
      <c r="I72" s="18">
        <f t="shared" si="19"/>
        <v>8.0459770114942555E-2</v>
      </c>
      <c r="J72" s="19">
        <f t="shared" si="2"/>
        <v>0.15999999999999984</v>
      </c>
      <c r="K72" s="21">
        <f t="shared" si="3"/>
        <v>57289.965594144844</v>
      </c>
      <c r="L72" s="21">
        <f t="shared" si="4"/>
        <v>2018.42275724961</v>
      </c>
      <c r="N72" s="1">
        <v>60</v>
      </c>
      <c r="O72" s="3">
        <f t="shared" si="20"/>
        <v>252725.77077740442</v>
      </c>
      <c r="P72" s="3">
        <f t="shared" si="22"/>
        <v>105.30240449058518</v>
      </c>
      <c r="Q72" s="3">
        <f t="shared" si="5"/>
        <v>105.30240449058518</v>
      </c>
      <c r="R72" s="3">
        <v>0</v>
      </c>
      <c r="S72" s="3">
        <f t="shared" si="6"/>
        <v>1913.1203527590249</v>
      </c>
      <c r="T72" s="3">
        <f t="shared" si="23"/>
        <v>631.81442694351108</v>
      </c>
      <c r="U72" s="3">
        <f t="shared" si="8"/>
        <v>1913.1203527590249</v>
      </c>
      <c r="V72" s="3">
        <f t="shared" si="9"/>
        <v>631.81442694351108</v>
      </c>
      <c r="W72" s="3">
        <f t="shared" si="10"/>
        <v>0</v>
      </c>
      <c r="X72" s="3">
        <f t="shared" si="11"/>
        <v>1281.3059258155138</v>
      </c>
      <c r="Y72" s="3">
        <f t="shared" si="12"/>
        <v>57289.965594144844</v>
      </c>
      <c r="Z72" s="3">
        <f t="shared" si="13"/>
        <v>15724.719957273766</v>
      </c>
      <c r="AA72" s="3">
        <f t="shared" si="14"/>
        <v>73014.685551418603</v>
      </c>
      <c r="AB72" s="3">
        <f t="shared" si="15"/>
        <v>179711.08522598582</v>
      </c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>
        <v>10000000</v>
      </c>
      <c r="AQ72" s="3">
        <f t="shared" si="16"/>
        <v>1281.3059258155138</v>
      </c>
      <c r="AR72" s="3">
        <f t="shared" si="17"/>
        <v>1281.3059258155138</v>
      </c>
      <c r="AS72" s="3">
        <f t="shared" si="18"/>
        <v>1281.3059258155138</v>
      </c>
      <c r="AT72" s="3">
        <f t="shared" si="21"/>
        <v>0</v>
      </c>
    </row>
    <row r="73" spans="1:46" ht="14.5" x14ac:dyDescent="0.35">
      <c r="A73" s="1">
        <v>61</v>
      </c>
      <c r="B73" s="3">
        <v>271624.11532763595</v>
      </c>
      <c r="C73" s="3">
        <v>8959.7981482051055</v>
      </c>
      <c r="I73" s="18">
        <f t="shared" si="19"/>
        <v>8.7499999999999981E-2</v>
      </c>
      <c r="J73" s="19">
        <f t="shared" si="2"/>
        <v>0.14599999999999985</v>
      </c>
      <c r="K73" s="21">
        <f t="shared" si="3"/>
        <v>43459.858452421708</v>
      </c>
      <c r="L73" s="21">
        <f t="shared" si="4"/>
        <v>1433.5677037128155</v>
      </c>
      <c r="N73" s="1">
        <v>61</v>
      </c>
      <c r="O73" s="3">
        <f t="shared" si="20"/>
        <v>179711.08522598582</v>
      </c>
      <c r="P73" s="3">
        <f t="shared" si="22"/>
        <v>74.87961884416076</v>
      </c>
      <c r="Q73" s="3">
        <f t="shared" si="5"/>
        <v>74.87961884416076</v>
      </c>
      <c r="R73" s="3">
        <v>0</v>
      </c>
      <c r="S73" s="3">
        <f t="shared" si="6"/>
        <v>1358.6880848686546</v>
      </c>
      <c r="T73" s="3">
        <f t="shared" si="23"/>
        <v>449.27771306496459</v>
      </c>
      <c r="U73" s="3">
        <f t="shared" si="8"/>
        <v>1358.6880848686546</v>
      </c>
      <c r="V73" s="3">
        <f t="shared" si="9"/>
        <v>449.27771306496459</v>
      </c>
      <c r="W73" s="3">
        <f t="shared" si="10"/>
        <v>0</v>
      </c>
      <c r="X73" s="3">
        <f t="shared" si="11"/>
        <v>909.41037180369005</v>
      </c>
      <c r="Y73" s="3">
        <f t="shared" si="12"/>
        <v>43459.858452421708</v>
      </c>
      <c r="Z73" s="3">
        <f t="shared" si="13"/>
        <v>11921.982342686859</v>
      </c>
      <c r="AA73" s="3">
        <f t="shared" si="14"/>
        <v>55381.840795108568</v>
      </c>
      <c r="AB73" s="3">
        <f t="shared" si="15"/>
        <v>124329.24443087725</v>
      </c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>
        <v>10000000</v>
      </c>
      <c r="AQ73" s="3">
        <f t="shared" si="16"/>
        <v>909.41037180369005</v>
      </c>
      <c r="AR73" s="3">
        <f t="shared" si="17"/>
        <v>909.41037180369005</v>
      </c>
      <c r="AS73" s="3">
        <f t="shared" si="18"/>
        <v>909.41037180369005</v>
      </c>
      <c r="AT73" s="3">
        <f t="shared" si="21"/>
        <v>0</v>
      </c>
    </row>
    <row r="74" spans="1:46" ht="14.5" x14ac:dyDescent="0.35">
      <c r="A74" s="1">
        <v>62</v>
      </c>
      <c r="B74" s="3">
        <v>218758.10318040257</v>
      </c>
      <c r="C74" s="3">
        <v>6788.6949856167339</v>
      </c>
      <c r="I74" s="18">
        <f t="shared" si="19"/>
        <v>9.5890410958904104E-2</v>
      </c>
      <c r="J74" s="19">
        <f t="shared" si="2"/>
        <v>0.13199999999999987</v>
      </c>
      <c r="K74" s="21">
        <f t="shared" si="3"/>
        <v>31938.683064338744</v>
      </c>
      <c r="L74" s="21">
        <f t="shared" si="4"/>
        <v>991.14946790004217</v>
      </c>
      <c r="N74" s="1">
        <v>62</v>
      </c>
      <c r="O74" s="3">
        <f t="shared" si="20"/>
        <v>124329.24443087725</v>
      </c>
      <c r="P74" s="3">
        <f t="shared" si="22"/>
        <v>51.803851846198853</v>
      </c>
      <c r="Q74" s="3">
        <f t="shared" si="5"/>
        <v>51.803851846198853</v>
      </c>
      <c r="R74" s="3">
        <v>0</v>
      </c>
      <c r="S74" s="3">
        <f t="shared" si="6"/>
        <v>939.34561605384329</v>
      </c>
      <c r="T74" s="3">
        <f t="shared" si="23"/>
        <v>310.82311107719312</v>
      </c>
      <c r="U74" s="3">
        <f t="shared" si="8"/>
        <v>939.34561605384329</v>
      </c>
      <c r="V74" s="3">
        <f t="shared" si="9"/>
        <v>310.82311107719312</v>
      </c>
      <c r="W74" s="3">
        <f t="shared" si="10"/>
        <v>0</v>
      </c>
      <c r="X74" s="3">
        <f t="shared" si="11"/>
        <v>628.52250497665023</v>
      </c>
      <c r="Y74" s="3">
        <f t="shared" si="12"/>
        <v>31938.683064338744</v>
      </c>
      <c r="Z74" s="3">
        <f t="shared" si="13"/>
        <v>8859.3688981612268</v>
      </c>
      <c r="AA74" s="3">
        <f t="shared" si="14"/>
        <v>40798.051962499972</v>
      </c>
      <c r="AB74" s="3">
        <f t="shared" si="15"/>
        <v>83531.192468377281</v>
      </c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>
        <v>10000000</v>
      </c>
      <c r="AQ74" s="3">
        <f t="shared" si="16"/>
        <v>628.52250497665023</v>
      </c>
      <c r="AR74" s="3">
        <f t="shared" si="17"/>
        <v>628.52250497665023</v>
      </c>
      <c r="AS74" s="3">
        <f t="shared" si="18"/>
        <v>628.52250497665023</v>
      </c>
      <c r="AT74" s="3">
        <f t="shared" si="21"/>
        <v>0</v>
      </c>
    </row>
    <row r="75" spans="1:46" ht="14.5" x14ac:dyDescent="0.35">
      <c r="A75" s="1">
        <v>63</v>
      </c>
      <c r="B75" s="3">
        <v>171441.893966195</v>
      </c>
      <c r="C75" s="3">
        <v>5042.2757032417248</v>
      </c>
      <c r="I75" s="18">
        <f t="shared" si="19"/>
        <v>0.10606060606060606</v>
      </c>
      <c r="J75" s="19">
        <f t="shared" si="2"/>
        <v>0.11799999999999988</v>
      </c>
      <c r="K75" s="21">
        <f t="shared" si="3"/>
        <v>22630.330003537718</v>
      </c>
      <c r="L75" s="21">
        <f t="shared" si="4"/>
        <v>665.58039282790696</v>
      </c>
      <c r="N75" s="1">
        <v>63</v>
      </c>
      <c r="O75" s="3">
        <f t="shared" si="20"/>
        <v>83531.192468377281</v>
      </c>
      <c r="P75" s="3">
        <f t="shared" si="22"/>
        <v>34.804663528490536</v>
      </c>
      <c r="Q75" s="3">
        <f t="shared" si="5"/>
        <v>34.804663528490536</v>
      </c>
      <c r="R75" s="3">
        <v>0</v>
      </c>
      <c r="S75" s="3">
        <f t="shared" si="6"/>
        <v>630.77572929941641</v>
      </c>
      <c r="T75" s="3">
        <f t="shared" si="23"/>
        <v>208.82798117094322</v>
      </c>
      <c r="U75" s="3">
        <f t="shared" si="8"/>
        <v>630.77572929941641</v>
      </c>
      <c r="V75" s="3">
        <f t="shared" si="9"/>
        <v>208.82798117094322</v>
      </c>
      <c r="W75" s="3">
        <f t="shared" si="10"/>
        <v>0</v>
      </c>
      <c r="X75" s="3">
        <f t="shared" si="11"/>
        <v>421.94774812847322</v>
      </c>
      <c r="Y75" s="3">
        <f t="shared" si="12"/>
        <v>22630.330003537718</v>
      </c>
      <c r="Z75" s="3">
        <f t="shared" si="13"/>
        <v>6459.1823826344989</v>
      </c>
      <c r="AA75" s="3">
        <f t="shared" si="14"/>
        <v>29089.512386172217</v>
      </c>
      <c r="AB75" s="3">
        <f t="shared" si="15"/>
        <v>54441.680082205065</v>
      </c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>
        <v>10000000</v>
      </c>
      <c r="AQ75" s="3">
        <f t="shared" si="16"/>
        <v>421.94774812847322</v>
      </c>
      <c r="AR75" s="3">
        <f t="shared" si="17"/>
        <v>421.94774812847322</v>
      </c>
      <c r="AS75" s="3">
        <f t="shared" si="18"/>
        <v>421.94774812847322</v>
      </c>
      <c r="AT75" s="3">
        <f t="shared" si="21"/>
        <v>0</v>
      </c>
    </row>
    <row r="76" spans="1:46" ht="14.5" x14ac:dyDescent="0.35">
      <c r="A76" s="1">
        <v>64</v>
      </c>
      <c r="B76" s="3">
        <v>132782.30105384893</v>
      </c>
      <c r="C76" s="3">
        <v>3677.8749209337811</v>
      </c>
      <c r="I76" s="18">
        <f t="shared" si="19"/>
        <v>0.11864406779661017</v>
      </c>
      <c r="J76" s="19">
        <f t="shared" si="2"/>
        <v>0.1039999999999999</v>
      </c>
      <c r="K76" s="21">
        <f t="shared" si="3"/>
        <v>15668.311524354158</v>
      </c>
      <c r="L76" s="21">
        <f t="shared" si="4"/>
        <v>433.98924067018572</v>
      </c>
      <c r="N76" s="1">
        <v>64</v>
      </c>
      <c r="O76" s="3">
        <f t="shared" si="20"/>
        <v>54441.680082205065</v>
      </c>
      <c r="P76" s="3">
        <f t="shared" si="22"/>
        <v>22.684033367585442</v>
      </c>
      <c r="Q76" s="3">
        <f t="shared" si="5"/>
        <v>22.684033367585442</v>
      </c>
      <c r="R76" s="3">
        <v>0</v>
      </c>
      <c r="S76" s="3">
        <f t="shared" si="6"/>
        <v>411.30520730260025</v>
      </c>
      <c r="T76" s="3">
        <f t="shared" si="23"/>
        <v>136.10420020551265</v>
      </c>
      <c r="U76" s="3">
        <f t="shared" si="8"/>
        <v>411.30520730260025</v>
      </c>
      <c r="V76" s="3">
        <f t="shared" si="9"/>
        <v>136.10420020551265</v>
      </c>
      <c r="W76" s="3">
        <f t="shared" si="10"/>
        <v>0</v>
      </c>
      <c r="X76" s="3">
        <f t="shared" si="11"/>
        <v>275.2010070970876</v>
      </c>
      <c r="Y76" s="3">
        <f t="shared" si="12"/>
        <v>15668.311524354158</v>
      </c>
      <c r="Z76" s="3">
        <f t="shared" si="13"/>
        <v>4600.2301678806161</v>
      </c>
      <c r="AA76" s="3">
        <f t="shared" si="14"/>
        <v>20268.541692234772</v>
      </c>
      <c r="AB76" s="3">
        <f t="shared" si="15"/>
        <v>34173.138389970292</v>
      </c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>
        <v>10000000</v>
      </c>
      <c r="AQ76" s="3">
        <f t="shared" si="16"/>
        <v>275.2010070970876</v>
      </c>
      <c r="AR76" s="3">
        <f t="shared" si="17"/>
        <v>275.2010070970876</v>
      </c>
      <c r="AS76" s="3">
        <f t="shared" si="18"/>
        <v>275.2010070970876</v>
      </c>
      <c r="AT76" s="3">
        <f t="shared" si="21"/>
        <v>0</v>
      </c>
    </row>
    <row r="77" spans="1:46" ht="14.5" x14ac:dyDescent="0.35">
      <c r="A77" s="1">
        <v>65</v>
      </c>
      <c r="B77" s="3">
        <v>108597.33382044018</v>
      </c>
      <c r="C77" s="3">
        <v>2617.6794248079318</v>
      </c>
      <c r="I77" s="18">
        <f t="shared" si="19"/>
        <v>0.13461538461538464</v>
      </c>
      <c r="J77" s="19">
        <f t="shared" si="2"/>
        <v>8.9999999999999913E-2</v>
      </c>
      <c r="K77" s="21">
        <f t="shared" si="3"/>
        <v>11294.122717325768</v>
      </c>
      <c r="L77" s="21">
        <f t="shared" si="4"/>
        <v>272.23866018002462</v>
      </c>
      <c r="N77" s="1">
        <v>65</v>
      </c>
      <c r="O77" s="3">
        <f t="shared" si="20"/>
        <v>34173.138389970292</v>
      </c>
      <c r="P77" s="3">
        <f t="shared" ref="P77:P82" si="24">O77*ServicingFee/12</f>
        <v>14.238807662487622</v>
      </c>
      <c r="Q77" s="3">
        <f t="shared" si="5"/>
        <v>14.238807662487622</v>
      </c>
      <c r="R77" s="3">
        <v>0</v>
      </c>
      <c r="S77" s="3">
        <f t="shared" si="6"/>
        <v>257.99985251753702</v>
      </c>
      <c r="T77" s="3">
        <f t="shared" ref="T77:T82" si="25">O77*(Coupon/12)</f>
        <v>85.432845974925726</v>
      </c>
      <c r="U77" s="3">
        <f t="shared" si="8"/>
        <v>257.99985251753702</v>
      </c>
      <c r="V77" s="3">
        <f t="shared" si="9"/>
        <v>85.432845974925726</v>
      </c>
      <c r="W77" s="3">
        <f t="shared" si="10"/>
        <v>0</v>
      </c>
      <c r="X77" s="3">
        <f t="shared" si="11"/>
        <v>172.5670065426113</v>
      </c>
      <c r="Y77" s="3">
        <f t="shared" si="12"/>
        <v>11294.122717325768</v>
      </c>
      <c r="Z77" s="3">
        <f t="shared" si="13"/>
        <v>3079.8674943944557</v>
      </c>
      <c r="AA77" s="3">
        <f t="shared" si="14"/>
        <v>14373.990211720224</v>
      </c>
      <c r="AB77" s="3">
        <f t="shared" si="15"/>
        <v>19799.14817825007</v>
      </c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>
        <v>10000000</v>
      </c>
      <c r="AQ77" s="3">
        <f t="shared" si="16"/>
        <v>172.5670065426113</v>
      </c>
      <c r="AR77" s="3">
        <f t="shared" si="17"/>
        <v>172.5670065426113</v>
      </c>
      <c r="AS77" s="3">
        <f t="shared" si="18"/>
        <v>172.5670065426113</v>
      </c>
      <c r="AT77" s="3">
        <f t="shared" si="21"/>
        <v>0</v>
      </c>
    </row>
    <row r="78" spans="1:46" ht="14.5" x14ac:dyDescent="0.35">
      <c r="A78" s="1">
        <v>66</v>
      </c>
      <c r="B78" s="3">
        <v>87528.077248558038</v>
      </c>
      <c r="C78" s="3">
        <v>1750.3881596972008</v>
      </c>
      <c r="I78" s="18">
        <f t="shared" si="19"/>
        <v>0.15555555555555561</v>
      </c>
      <c r="J78" s="19">
        <f t="shared" ref="J78:J82" si="26">J77*(1-I78)</f>
        <v>7.5999999999999915E-2</v>
      </c>
      <c r="K78" s="21">
        <f t="shared" ref="K78:K82" si="27">B78*J77</f>
        <v>7877.5269523702154</v>
      </c>
      <c r="L78" s="21">
        <f t="shared" ref="L78:L82" si="28">C78*J77</f>
        <v>157.53493437274793</v>
      </c>
      <c r="N78" s="1">
        <v>66</v>
      </c>
      <c r="O78" s="3">
        <f t="shared" si="20"/>
        <v>19799.14817825007</v>
      </c>
      <c r="P78" s="3">
        <f t="shared" si="24"/>
        <v>8.2496450742708625</v>
      </c>
      <c r="Q78" s="3">
        <f t="shared" ref="Q78:Q82" si="29">MIN(P78,L78)</f>
        <v>8.2496450742708625</v>
      </c>
      <c r="R78" s="3">
        <v>0</v>
      </c>
      <c r="S78" s="3">
        <f t="shared" ref="S78:S82" si="30">L78-Q78</f>
        <v>149.28528929847707</v>
      </c>
      <c r="T78" s="3">
        <f t="shared" si="25"/>
        <v>49.497870445625175</v>
      </c>
      <c r="U78" s="3">
        <f t="shared" ref="U78:U82" si="31">S78</f>
        <v>149.28528929847707</v>
      </c>
      <c r="V78" s="3">
        <f t="shared" ref="V78:V82" si="32">MIN(T78,U78)</f>
        <v>49.497870445625175</v>
      </c>
      <c r="W78" s="3">
        <f t="shared" ref="W78:W82" si="33">T78-V78</f>
        <v>0</v>
      </c>
      <c r="X78" s="3">
        <f t="shared" ref="X78:X82" si="34">MAX(0,U78-V78)</f>
        <v>99.787418852851886</v>
      </c>
      <c r="Y78" s="3">
        <f t="shared" ref="Y78:Y82" si="35">K78</f>
        <v>7877.5269523702154</v>
      </c>
      <c r="Z78" s="3">
        <f t="shared" ref="Z78:Z82" si="36">MAX(0,(O78-Y78)*I78)</f>
        <v>1854.4744129146447</v>
      </c>
      <c r="AA78" s="3">
        <f t="shared" ref="AA78:AA82" si="37">Y78+Z78</f>
        <v>9732.0013652848611</v>
      </c>
      <c r="AB78" s="3">
        <f t="shared" ref="AB78:AB82" si="38">MAX(0,O78-AA78)</f>
        <v>10067.146812965209</v>
      </c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>
        <v>10000000</v>
      </c>
      <c r="AQ78" s="3">
        <f t="shared" ref="AQ78:AQ82" si="39">X78</f>
        <v>99.787418852851886</v>
      </c>
      <c r="AR78" s="3">
        <f t="shared" ref="AR78:AR82" si="40">MIN(AP78-AM78,AQ78)</f>
        <v>99.787418852851886</v>
      </c>
      <c r="AS78" s="3">
        <f t="shared" ref="AS78:AS82" si="41">AM78+AR78</f>
        <v>99.787418852851886</v>
      </c>
      <c r="AT78" s="3">
        <f t="shared" ref="AT78:AT82" si="42">AQ78-AR78</f>
        <v>0</v>
      </c>
    </row>
    <row r="79" spans="1:46" ht="14.5" x14ac:dyDescent="0.35">
      <c r="A79" s="1">
        <v>67</v>
      </c>
      <c r="B79" s="3">
        <v>65120.989692339288</v>
      </c>
      <c r="C79" s="3">
        <v>1053.6564484482974</v>
      </c>
      <c r="I79" s="18">
        <f t="shared" ref="I79:I82" si="43">$R$3/(1-$R$3*(A79-1))</f>
        <v>0.18421052631578957</v>
      </c>
      <c r="J79" s="19">
        <f t="shared" si="26"/>
        <v>6.1999999999999923E-2</v>
      </c>
      <c r="K79" s="21">
        <f t="shared" si="27"/>
        <v>4949.1952166177807</v>
      </c>
      <c r="L79" s="21">
        <f t="shared" si="28"/>
        <v>80.07789008207051</v>
      </c>
      <c r="N79" s="1">
        <v>67</v>
      </c>
      <c r="O79" s="3">
        <f t="shared" ref="O79:O82" si="44">AB78</f>
        <v>10067.146812965209</v>
      </c>
      <c r="P79" s="3">
        <f t="shared" si="24"/>
        <v>4.194644505402171</v>
      </c>
      <c r="Q79" s="3">
        <f t="shared" si="29"/>
        <v>4.194644505402171</v>
      </c>
      <c r="R79" s="3">
        <v>0</v>
      </c>
      <c r="S79" s="3">
        <f t="shared" si="30"/>
        <v>75.883245576668344</v>
      </c>
      <c r="T79" s="3">
        <f t="shared" si="25"/>
        <v>25.167867032413024</v>
      </c>
      <c r="U79" s="3">
        <f t="shared" si="31"/>
        <v>75.883245576668344</v>
      </c>
      <c r="V79" s="3">
        <f t="shared" si="32"/>
        <v>25.167867032413024</v>
      </c>
      <c r="W79" s="3">
        <f t="shared" si="33"/>
        <v>0</v>
      </c>
      <c r="X79" s="3">
        <f t="shared" si="34"/>
        <v>50.715378544255316</v>
      </c>
      <c r="Y79" s="3">
        <f t="shared" si="35"/>
        <v>4949.1952166177807</v>
      </c>
      <c r="Z79" s="3">
        <f t="shared" si="36"/>
        <v>942.78055722189526</v>
      </c>
      <c r="AA79" s="3">
        <f t="shared" si="37"/>
        <v>5891.9757738396756</v>
      </c>
      <c r="AB79" s="3">
        <f t="shared" si="38"/>
        <v>4175.1710391255338</v>
      </c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>
        <v>10000000</v>
      </c>
      <c r="AQ79" s="3">
        <f t="shared" si="39"/>
        <v>50.715378544255316</v>
      </c>
      <c r="AR79" s="3">
        <f t="shared" si="40"/>
        <v>50.715378544255316</v>
      </c>
      <c r="AS79" s="3">
        <f t="shared" si="41"/>
        <v>50.715378544255316</v>
      </c>
      <c r="AT79" s="3">
        <f t="shared" si="42"/>
        <v>0</v>
      </c>
    </row>
    <row r="80" spans="1:46" ht="14.5" x14ac:dyDescent="0.35">
      <c r="A80" s="1">
        <v>68</v>
      </c>
      <c r="B80" s="3">
        <v>42627.816141845105</v>
      </c>
      <c r="C80" s="3">
        <v>535.11552186743381</v>
      </c>
      <c r="I80" s="18">
        <f t="shared" si="43"/>
        <v>0.22580645161290344</v>
      </c>
      <c r="J80" s="19">
        <f t="shared" si="26"/>
        <v>4.7999999999999925E-2</v>
      </c>
      <c r="K80" s="21">
        <f t="shared" si="27"/>
        <v>2642.9246007943934</v>
      </c>
      <c r="L80" s="21">
        <f t="shared" si="28"/>
        <v>33.177162355780858</v>
      </c>
      <c r="N80" s="1">
        <v>68</v>
      </c>
      <c r="O80" s="3">
        <f t="shared" si="44"/>
        <v>4175.1710391255338</v>
      </c>
      <c r="P80" s="3">
        <f t="shared" si="24"/>
        <v>1.739654599635639</v>
      </c>
      <c r="Q80" s="3">
        <f t="shared" si="29"/>
        <v>1.739654599635639</v>
      </c>
      <c r="R80" s="3">
        <v>0</v>
      </c>
      <c r="S80" s="3">
        <f t="shared" si="30"/>
        <v>31.437507756145219</v>
      </c>
      <c r="T80" s="3">
        <f t="shared" si="25"/>
        <v>10.437927597813834</v>
      </c>
      <c r="U80" s="3">
        <f t="shared" si="31"/>
        <v>31.437507756145219</v>
      </c>
      <c r="V80" s="3">
        <f t="shared" si="32"/>
        <v>10.437927597813834</v>
      </c>
      <c r="W80" s="3">
        <f>T80-V80</f>
        <v>0</v>
      </c>
      <c r="X80" s="3">
        <f t="shared" si="34"/>
        <v>20.999580158331383</v>
      </c>
      <c r="Y80" s="3">
        <f t="shared" si="35"/>
        <v>2642.9246007943934</v>
      </c>
      <c r="Z80" s="3">
        <f t="shared" si="36"/>
        <v>345.99113123606429</v>
      </c>
      <c r="AA80" s="3">
        <f t="shared" si="37"/>
        <v>2988.9157320304575</v>
      </c>
      <c r="AB80" s="3">
        <f t="shared" si="38"/>
        <v>1186.2553070950762</v>
      </c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>
        <v>10000000</v>
      </c>
      <c r="AQ80" s="3">
        <f t="shared" si="39"/>
        <v>20.999580158331383</v>
      </c>
      <c r="AR80" s="3">
        <f t="shared" si="40"/>
        <v>20.999580158331383</v>
      </c>
      <c r="AS80" s="3">
        <f t="shared" si="41"/>
        <v>20.999580158331383</v>
      </c>
      <c r="AT80" s="3">
        <f t="shared" si="42"/>
        <v>0</v>
      </c>
    </row>
    <row r="81" spans="1:46" ht="14.5" x14ac:dyDescent="0.35">
      <c r="A81" s="1">
        <v>69</v>
      </c>
      <c r="B81" s="3">
        <v>20412.397480160595</v>
      </c>
      <c r="C81" s="3">
        <v>197.76989703804941</v>
      </c>
      <c r="I81" s="18">
        <f t="shared" si="43"/>
        <v>0.29166666666666707</v>
      </c>
      <c r="J81" s="19">
        <f t="shared" si="26"/>
        <v>3.3999999999999926E-2</v>
      </c>
      <c r="K81" s="21">
        <f t="shared" si="27"/>
        <v>979.79507904770696</v>
      </c>
      <c r="L81" s="21">
        <f t="shared" si="28"/>
        <v>9.4929550578263573</v>
      </c>
      <c r="N81" s="1">
        <v>69</v>
      </c>
      <c r="O81" s="3">
        <f t="shared" si="44"/>
        <v>1186.2553070950762</v>
      </c>
      <c r="P81" s="3">
        <f t="shared" si="24"/>
        <v>0.49427304462294841</v>
      </c>
      <c r="Q81" s="3">
        <f t="shared" si="29"/>
        <v>0.49427304462294841</v>
      </c>
      <c r="R81" s="3">
        <v>0</v>
      </c>
      <c r="S81" s="3">
        <f t="shared" si="30"/>
        <v>8.9986820132034087</v>
      </c>
      <c r="T81" s="3">
        <f t="shared" si="25"/>
        <v>2.9656382677376905</v>
      </c>
      <c r="U81" s="3">
        <f t="shared" si="31"/>
        <v>8.9986820132034087</v>
      </c>
      <c r="V81" s="3">
        <f t="shared" si="32"/>
        <v>2.9656382677376905</v>
      </c>
      <c r="W81" s="3">
        <f t="shared" si="33"/>
        <v>0</v>
      </c>
      <c r="X81" s="3">
        <f t="shared" si="34"/>
        <v>6.0330437454657186</v>
      </c>
      <c r="Y81" s="3">
        <f t="shared" si="35"/>
        <v>979.79507904770696</v>
      </c>
      <c r="Z81" s="3">
        <f t="shared" si="36"/>
        <v>60.217566513816109</v>
      </c>
      <c r="AA81" s="3">
        <f t="shared" si="37"/>
        <v>1040.0126455615232</v>
      </c>
      <c r="AB81" s="3">
        <f t="shared" si="38"/>
        <v>146.24266153355302</v>
      </c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>
        <v>10000000</v>
      </c>
      <c r="AQ81" s="3">
        <f t="shared" si="39"/>
        <v>6.0330437454657186</v>
      </c>
      <c r="AR81" s="3">
        <f t="shared" si="40"/>
        <v>6.0330437454657186</v>
      </c>
      <c r="AS81" s="3">
        <f t="shared" si="41"/>
        <v>6.0330437454657186</v>
      </c>
      <c r="AT81" s="3">
        <f t="shared" si="42"/>
        <v>0</v>
      </c>
    </row>
    <row r="82" spans="1:46" ht="14.5" x14ac:dyDescent="0.35">
      <c r="A82" s="1">
        <v>70</v>
      </c>
      <c r="B82" s="3">
        <v>4301.3447515812213</v>
      </c>
      <c r="C82" s="3">
        <v>35.337195028328551</v>
      </c>
      <c r="I82" s="18">
        <f t="shared" si="43"/>
        <v>0.41176470588235259</v>
      </c>
      <c r="J82" s="19">
        <f t="shared" si="26"/>
        <v>1.9999999999999969E-2</v>
      </c>
      <c r="K82" s="21">
        <f t="shared" si="27"/>
        <v>146.2457215537612</v>
      </c>
      <c r="L82" s="21">
        <f t="shared" si="28"/>
        <v>1.2014646309631682</v>
      </c>
      <c r="N82" s="1">
        <v>70</v>
      </c>
      <c r="O82" s="3">
        <f t="shared" si="44"/>
        <v>146.24266153355302</v>
      </c>
      <c r="P82" s="3">
        <f t="shared" si="24"/>
        <v>6.0934442305647096E-2</v>
      </c>
      <c r="Q82" s="3">
        <f t="shared" si="29"/>
        <v>6.0934442305647096E-2</v>
      </c>
      <c r="R82" s="3">
        <v>0</v>
      </c>
      <c r="S82" s="3">
        <f t="shared" si="30"/>
        <v>1.1405301886575212</v>
      </c>
      <c r="T82" s="3">
        <f t="shared" si="25"/>
        <v>0.36560665383388258</v>
      </c>
      <c r="U82" s="3">
        <f t="shared" si="31"/>
        <v>1.1405301886575212</v>
      </c>
      <c r="V82" s="3">
        <f t="shared" si="32"/>
        <v>0.36560665383388258</v>
      </c>
      <c r="W82" s="3">
        <f t="shared" si="33"/>
        <v>0</v>
      </c>
      <c r="X82" s="3">
        <f t="shared" si="34"/>
        <v>0.77492353482363863</v>
      </c>
      <c r="Y82" s="3">
        <f t="shared" si="35"/>
        <v>146.2457215537612</v>
      </c>
      <c r="Z82" s="3">
        <f t="shared" si="36"/>
        <v>0</v>
      </c>
      <c r="AA82" s="3">
        <f t="shared" si="37"/>
        <v>146.2457215537612</v>
      </c>
      <c r="AB82" s="3">
        <f t="shared" si="38"/>
        <v>0</v>
      </c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>
        <v>10000000</v>
      </c>
      <c r="AQ82" s="3">
        <f t="shared" si="39"/>
        <v>0.77492353482363863</v>
      </c>
      <c r="AR82" s="3">
        <f t="shared" si="40"/>
        <v>0.77492353482363863</v>
      </c>
      <c r="AS82" s="3">
        <f t="shared" si="41"/>
        <v>0.77492353482363863</v>
      </c>
      <c r="AT82" s="3">
        <f t="shared" si="42"/>
        <v>0</v>
      </c>
    </row>
  </sheetData>
  <mergeCells count="8">
    <mergeCell ref="A2:C2"/>
    <mergeCell ref="B10:C10"/>
    <mergeCell ref="AM10:AT10"/>
    <mergeCell ref="P10:S10"/>
    <mergeCell ref="N2:O2"/>
    <mergeCell ref="T10:AB10"/>
    <mergeCell ref="Q2:R2"/>
    <mergeCell ref="E10:G10"/>
  </mergeCells>
  <conditionalFormatting sqref="B7">
    <cfRule type="cellIs" dxfId="11" priority="9" operator="greaterThan">
      <formula>0</formula>
    </cfRule>
    <cfRule type="cellIs" dxfId="10" priority="10" operator="equal">
      <formula>0</formula>
    </cfRule>
    <cfRule type="cellIs" dxfId="9" priority="11" operator="equal">
      <formula>" -   "</formula>
    </cfRule>
    <cfRule type="cellIs" dxfId="8" priority="12" operator="greaterThan">
      <formula>" -   "</formula>
    </cfRule>
  </conditionalFormatting>
  <conditionalFormatting sqref="B8">
    <cfRule type="cellIs" dxfId="7" priority="5" operator="greaterThan">
      <formula>0</formula>
    </cfRule>
    <cfRule type="cellIs" dxfId="6" priority="6" operator="equal">
      <formula>0</formula>
    </cfRule>
    <cfRule type="cellIs" dxfId="5" priority="7" operator="equal">
      <formula>" -   "</formula>
    </cfRule>
    <cfRule type="cellIs" dxfId="4" priority="8" operator="greaterThan">
      <formula>" -   "</formula>
    </cfRule>
  </conditionalFormatting>
  <conditionalFormatting sqref="B6">
    <cfRule type="cellIs" dxfId="3" priority="1" operator="greaterThan">
      <formula>0</formula>
    </cfRule>
    <cfRule type="cellIs" dxfId="2" priority="2" operator="equal">
      <formula>0</formula>
    </cfRule>
    <cfRule type="cellIs" dxfId="1" priority="3" operator="equal">
      <formula>" -   "</formula>
    </cfRule>
    <cfRule type="cellIs" dxfId="0" priority="4" operator="greaterThan">
      <formula>" -   "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E8B8441BD648F4F9752B36F13699764" ma:contentTypeVersion="11" ma:contentTypeDescription="Create a new document." ma:contentTypeScope="" ma:versionID="07d8dc451276da18f573fc8037d25bb4">
  <xsd:schema xmlns:xsd="http://www.w3.org/2001/XMLSchema" xmlns:xs="http://www.w3.org/2001/XMLSchema" xmlns:p="http://schemas.microsoft.com/office/2006/metadata/properties" xmlns:ns3="77973c8b-7199-43c9-ab5e-9af0f37c3857" xmlns:ns4="05aec6d0-f431-4249-a1af-dc8a27f6a4c6" targetNamespace="http://schemas.microsoft.com/office/2006/metadata/properties" ma:root="true" ma:fieldsID="3cb24a1b90f63f14676926ae39b62595" ns3:_="" ns4:_="">
    <xsd:import namespace="77973c8b-7199-43c9-ab5e-9af0f37c3857"/>
    <xsd:import namespace="05aec6d0-f431-4249-a1af-dc8a27f6a4c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  <xsd:element ref="ns3:_activity" minOccurs="0"/>
                <xsd:element ref="ns3:MediaServiceObjectDetectorVersions" minOccurs="0"/>
                <xsd:element ref="ns3:MediaServiceSearchPropertie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7973c8b-7199-43c9-ab5e-9af0f37c385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_activity" ma:index="15" nillable="true" ma:displayName="_activity" ma:hidden="true" ma:internalName="_activity">
      <xsd:simpleType>
        <xsd:restriction base="dms:Note"/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7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5aec6d0-f431-4249-a1af-dc8a27f6a4c6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77973c8b-7199-43c9-ab5e-9af0f37c3857" xsi:nil="true"/>
  </documentManagement>
</p:properties>
</file>

<file path=customXml/itemProps1.xml><?xml version="1.0" encoding="utf-8"?>
<ds:datastoreItem xmlns:ds="http://schemas.openxmlformats.org/officeDocument/2006/customXml" ds:itemID="{E2026743-7230-479E-9B50-3A89FB92718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92F672F-C841-4374-86EB-43BC195FA9F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7973c8b-7199-43c9-ab5e-9af0f37c3857"/>
    <ds:schemaRef ds:uri="05aec6d0-f431-4249-a1af-dc8a27f6a4c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371E021-6675-4020-8D76-1FCF1BA911D6}">
  <ds:schemaRefs>
    <ds:schemaRef ds:uri="http://schemas.openxmlformats.org/package/2006/metadata/core-properties"/>
    <ds:schemaRef ds:uri="http://schemas.microsoft.com/office/infopath/2007/PartnerControls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purl.org/dc/elements/1.1/"/>
    <ds:schemaRef ds:uri="05aec6d0-f431-4249-a1af-dc8a27f6a4c6"/>
    <ds:schemaRef ds:uri="77973c8b-7199-43c9-ab5e-9af0f37c3857"/>
    <ds:schemaRef ds:uri="http://www.w3.org/XML/1998/namespac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Waterfall</vt:lpstr>
      <vt:lpstr>Coupon</vt:lpstr>
      <vt:lpstr>ServicingFee</vt:lpstr>
    </vt:vector>
  </TitlesOfParts>
  <Company>Ford Motor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kwilkin7</dc:creator>
  <cp:lastModifiedBy>Joseph Paolo1</cp:lastModifiedBy>
  <dcterms:created xsi:type="dcterms:W3CDTF">2003-10-28T23:13:37Z</dcterms:created>
  <dcterms:modified xsi:type="dcterms:W3CDTF">2025-11-20T00:57:26Z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0x010100EE8B8441BD648F4F9752B36F13699764</vt:lpwstr>
  </property>
</Properties>
</file>
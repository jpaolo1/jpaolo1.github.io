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eyp\Downloads\"/>
    </mc:Choice>
  </mc:AlternateContent>
  <xr:revisionPtr revIDLastSave="0" documentId="8_{FFCBE63F-0ECC-4339-96DC-3180C4E57650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Waterfall" sheetId="6" r:id="rId1"/>
  </sheets>
  <definedNames>
    <definedName name="AmortOutput">#REF!</definedName>
    <definedName name="Coupon">Waterfall!$B$4</definedName>
    <definedName name="CouponMax">#REF!</definedName>
    <definedName name="CouponMin">#REF!</definedName>
    <definedName name="EligibleBalloon">#REF!</definedName>
    <definedName name="EligibleCoupon">#REF!</definedName>
    <definedName name="EligibleCurrBalance">#REF!</definedName>
    <definedName name="EligiblePmt">#REF!</definedName>
    <definedName name="EligibleRemTerm">#REF!</definedName>
    <definedName name="IncludeState">#REF!</definedName>
    <definedName name="LoanAmountFinanced">#REF!</definedName>
    <definedName name="LoanCoupon">#REF!</definedName>
    <definedName name="LoanNewUsed">#REF!</definedName>
    <definedName name="LoanState">#REF!</definedName>
    <definedName name="NumLoans">#REF!</definedName>
    <definedName name="Output">#REF!</definedName>
    <definedName name="ServicingFee">Waterfall!$B$5</definedName>
    <definedName name="State">#REF!</definedName>
    <definedName name="SumPrincipal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80" i="6" l="1"/>
  <c r="X79" i="6"/>
  <c r="X78" i="6"/>
  <c r="X77" i="6"/>
  <c r="X76" i="6"/>
  <c r="X75" i="6"/>
  <c r="X74" i="6"/>
  <c r="X73" i="6"/>
  <c r="X72" i="6"/>
  <c r="X71" i="6"/>
  <c r="X70" i="6"/>
  <c r="X69" i="6"/>
  <c r="X68" i="6"/>
  <c r="X67" i="6"/>
  <c r="X66" i="6"/>
  <c r="X65" i="6"/>
  <c r="X64" i="6"/>
  <c r="X63" i="6"/>
  <c r="X62" i="6"/>
  <c r="X61" i="6"/>
  <c r="X60" i="6"/>
  <c r="X59" i="6"/>
  <c r="X58" i="6"/>
  <c r="X57" i="6"/>
  <c r="X56" i="6"/>
  <c r="X19" i="6"/>
  <c r="X18" i="6"/>
  <c r="X17" i="6"/>
  <c r="X16" i="6"/>
  <c r="B6" i="6"/>
  <c r="B7" i="6"/>
  <c r="B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V38" i="6"/>
  <c r="V39" i="6"/>
  <c r="V40" i="6"/>
  <c r="V41" i="6"/>
  <c r="V42" i="6"/>
  <c r="V43" i="6"/>
  <c r="V44" i="6"/>
  <c r="V45" i="6"/>
  <c r="V46" i="6"/>
  <c r="V47" i="6"/>
  <c r="V48" i="6"/>
  <c r="V49" i="6"/>
  <c r="V50" i="6"/>
  <c r="V51" i="6"/>
  <c r="V52" i="6"/>
  <c r="V53" i="6"/>
  <c r="V54" i="6"/>
  <c r="V55" i="6"/>
  <c r="V56" i="6"/>
  <c r="V57" i="6"/>
  <c r="V58" i="6"/>
  <c r="V59" i="6"/>
  <c r="V60" i="6"/>
  <c r="V61" i="6"/>
  <c r="V62" i="6"/>
  <c r="V63" i="6"/>
  <c r="V64" i="6"/>
  <c r="V65" i="6"/>
  <c r="V66" i="6"/>
  <c r="V67" i="6"/>
  <c r="V68" i="6"/>
  <c r="V69" i="6"/>
  <c r="V70" i="6"/>
  <c r="V71" i="6"/>
  <c r="V72" i="6"/>
  <c r="V73" i="6"/>
  <c r="V74" i="6"/>
  <c r="V75" i="6"/>
  <c r="V76" i="6"/>
  <c r="V77" i="6"/>
  <c r="V78" i="6"/>
  <c r="V79" i="6"/>
  <c r="V80" i="6"/>
  <c r="V81" i="6"/>
  <c r="V13" i="6"/>
  <c r="V14" i="6"/>
  <c r="V15" i="6"/>
  <c r="V16" i="6"/>
  <c r="V17" i="6"/>
  <c r="V18" i="6"/>
  <c r="V12" i="6"/>
  <c r="S19" i="6"/>
  <c r="S14" i="6"/>
  <c r="S13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U37" i="6"/>
  <c r="U38" i="6"/>
  <c r="U39" i="6"/>
  <c r="U40" i="6"/>
  <c r="U41" i="6"/>
  <c r="U42" i="6"/>
  <c r="U43" i="6"/>
  <c r="U44" i="6"/>
  <c r="U45" i="6"/>
  <c r="U46" i="6"/>
  <c r="U47" i="6"/>
  <c r="U48" i="6"/>
  <c r="U49" i="6"/>
  <c r="U50" i="6"/>
  <c r="U51" i="6"/>
  <c r="U52" i="6"/>
  <c r="U53" i="6"/>
  <c r="U54" i="6"/>
  <c r="U55" i="6"/>
  <c r="U56" i="6"/>
  <c r="U57" i="6"/>
  <c r="U58" i="6"/>
  <c r="U59" i="6"/>
  <c r="U60" i="6"/>
  <c r="U61" i="6"/>
  <c r="U62" i="6"/>
  <c r="U63" i="6"/>
  <c r="U64" i="6"/>
  <c r="U65" i="6"/>
  <c r="U66" i="6"/>
  <c r="U67" i="6"/>
  <c r="U68" i="6"/>
  <c r="U69" i="6"/>
  <c r="U70" i="6"/>
  <c r="U71" i="6"/>
  <c r="U72" i="6"/>
  <c r="U73" i="6"/>
  <c r="U74" i="6"/>
  <c r="U75" i="6"/>
  <c r="U76" i="6"/>
  <c r="U77" i="6"/>
  <c r="U78" i="6"/>
  <c r="U79" i="6"/>
  <c r="U80" i="6"/>
  <c r="U81" i="6"/>
  <c r="W19" i="6"/>
  <c r="S20" i="6" s="1"/>
  <c r="W20" i="6"/>
  <c r="S21" i="6" s="1"/>
  <c r="W21" i="6"/>
  <c r="S22" i="6" s="1"/>
  <c r="W22" i="6"/>
  <c r="S23" i="6" s="1"/>
  <c r="W23" i="6" s="1"/>
  <c r="S24" i="6" s="1"/>
  <c r="W24" i="6" s="1"/>
  <c r="S25" i="6" s="1"/>
  <c r="W25" i="6" s="1"/>
  <c r="S26" i="6" s="1"/>
  <c r="W26" i="6" s="1"/>
  <c r="S27" i="6" s="1"/>
  <c r="W27" i="6" s="1"/>
  <c r="S28" i="6" s="1"/>
  <c r="W13" i="6"/>
  <c r="W14" i="6"/>
  <c r="S15" i="6" s="1"/>
  <c r="W12" i="6"/>
  <c r="U13" i="6"/>
  <c r="U14" i="6"/>
  <c r="U15" i="6"/>
  <c r="U16" i="6"/>
  <c r="U17" i="6"/>
  <c r="U18" i="6"/>
  <c r="U12" i="6"/>
  <c r="S12" i="6"/>
  <c r="F19" i="6"/>
  <c r="F14" i="6"/>
  <c r="F13" i="6"/>
  <c r="R19" i="6"/>
  <c r="F20" i="6" s="1"/>
  <c r="G20" i="6" s="1"/>
  <c r="J20" i="6" s="1"/>
  <c r="L20" i="6" s="1"/>
  <c r="R20" i="6"/>
  <c r="F21" i="6" s="1"/>
  <c r="R21" i="6" s="1"/>
  <c r="F22" i="6" s="1"/>
  <c r="R22" i="6"/>
  <c r="F23" i="6" s="1"/>
  <c r="K23" i="6" s="1"/>
  <c r="R23" i="6"/>
  <c r="F24" i="6" s="1"/>
  <c r="G24" i="6" s="1"/>
  <c r="R13" i="6"/>
  <c r="R14" i="6"/>
  <c r="F15" i="6" s="1"/>
  <c r="R12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59" i="6"/>
  <c r="Q60" i="6"/>
  <c r="Q61" i="6"/>
  <c r="Q62" i="6"/>
  <c r="Q63" i="6"/>
  <c r="Q64" i="6"/>
  <c r="Q65" i="6"/>
  <c r="Q66" i="6"/>
  <c r="Q67" i="6"/>
  <c r="Q68" i="6"/>
  <c r="Q69" i="6"/>
  <c r="Q70" i="6"/>
  <c r="Q71" i="6"/>
  <c r="Q72" i="6"/>
  <c r="Q73" i="6"/>
  <c r="Q74" i="6"/>
  <c r="Q75" i="6"/>
  <c r="Q76" i="6"/>
  <c r="Q77" i="6"/>
  <c r="Q78" i="6"/>
  <c r="Q79" i="6"/>
  <c r="Q80" i="6"/>
  <c r="Q81" i="6"/>
  <c r="Q13" i="6"/>
  <c r="Q9" i="6" s="1"/>
  <c r="Q14" i="6"/>
  <c r="Q15" i="6"/>
  <c r="Q16" i="6"/>
  <c r="Q17" i="6"/>
  <c r="Q18" i="6"/>
  <c r="Q12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P38" i="6"/>
  <c r="P39" i="6"/>
  <c r="P40" i="6"/>
  <c r="P41" i="6"/>
  <c r="P42" i="6"/>
  <c r="P43" i="6"/>
  <c r="P44" i="6"/>
  <c r="P45" i="6"/>
  <c r="P46" i="6"/>
  <c r="P47" i="6"/>
  <c r="P48" i="6"/>
  <c r="P49" i="6"/>
  <c r="P50" i="6"/>
  <c r="P51" i="6"/>
  <c r="P52" i="6"/>
  <c r="P53" i="6"/>
  <c r="P54" i="6"/>
  <c r="P55" i="6"/>
  <c r="P56" i="6"/>
  <c r="P57" i="6"/>
  <c r="P58" i="6"/>
  <c r="P59" i="6"/>
  <c r="P60" i="6"/>
  <c r="P61" i="6"/>
  <c r="P62" i="6"/>
  <c r="P63" i="6"/>
  <c r="P64" i="6"/>
  <c r="P65" i="6"/>
  <c r="P66" i="6"/>
  <c r="P67" i="6"/>
  <c r="P68" i="6"/>
  <c r="P69" i="6"/>
  <c r="P70" i="6"/>
  <c r="P71" i="6"/>
  <c r="P72" i="6"/>
  <c r="P73" i="6"/>
  <c r="P74" i="6"/>
  <c r="P75" i="6"/>
  <c r="P76" i="6"/>
  <c r="P77" i="6"/>
  <c r="P78" i="6"/>
  <c r="P79" i="6"/>
  <c r="P80" i="6"/>
  <c r="P81" i="6"/>
  <c r="P13" i="6"/>
  <c r="P14" i="6"/>
  <c r="P15" i="6"/>
  <c r="P16" i="6"/>
  <c r="P17" i="6"/>
  <c r="P18" i="6"/>
  <c r="P12" i="6"/>
  <c r="O12" i="6"/>
  <c r="M12" i="6"/>
  <c r="J12" i="6"/>
  <c r="N12" i="6"/>
  <c r="K19" i="6"/>
  <c r="K21" i="6"/>
  <c r="K22" i="6"/>
  <c r="K13" i="6"/>
  <c r="K14" i="6"/>
  <c r="K12" i="6"/>
  <c r="J13" i="6"/>
  <c r="L13" i="6" s="1"/>
  <c r="H20" i="6"/>
  <c r="H21" i="6"/>
  <c r="G19" i="6"/>
  <c r="J19" i="6" s="1"/>
  <c r="L19" i="6" s="1"/>
  <c r="G21" i="6"/>
  <c r="J21" i="6" s="1"/>
  <c r="L21" i="6" s="1"/>
  <c r="G22" i="6"/>
  <c r="G23" i="6"/>
  <c r="L12" i="6"/>
  <c r="T9" i="6"/>
  <c r="I9" i="6"/>
  <c r="H13" i="6"/>
  <c r="H14" i="6"/>
  <c r="H12" i="6"/>
  <c r="I12" i="6" s="1"/>
  <c r="T12" i="6"/>
  <c r="F12" i="6"/>
  <c r="G13" i="6"/>
  <c r="G14" i="6"/>
  <c r="J14" i="6" s="1"/>
  <c r="L14" i="6" s="1"/>
  <c r="G12" i="6"/>
  <c r="X20" i="6" l="1"/>
  <c r="V9" i="6"/>
  <c r="W29" i="6"/>
  <c r="S30" i="6" s="1"/>
  <c r="W30" i="6" s="1"/>
  <c r="S31" i="6" s="1"/>
  <c r="W31" i="6" s="1"/>
  <c r="S32" i="6" s="1"/>
  <c r="W32" i="6" s="1"/>
  <c r="S33" i="6" s="1"/>
  <c r="W33" i="6" s="1"/>
  <c r="S34" i="6" s="1"/>
  <c r="W34" i="6" s="1"/>
  <c r="S35" i="6" s="1"/>
  <c r="W35" i="6" s="1"/>
  <c r="S36" i="6" s="1"/>
  <c r="W36" i="6" s="1"/>
  <c r="S37" i="6" s="1"/>
  <c r="W37" i="6" s="1"/>
  <c r="S38" i="6" s="1"/>
  <c r="W38" i="6" s="1"/>
  <c r="S39" i="6" s="1"/>
  <c r="W39" i="6" s="1"/>
  <c r="S40" i="6" s="1"/>
  <c r="W40" i="6" s="1"/>
  <c r="S41" i="6" s="1"/>
  <c r="W41" i="6" s="1"/>
  <c r="S42" i="6" s="1"/>
  <c r="W42" i="6" s="1"/>
  <c r="S43" i="6" s="1"/>
  <c r="W43" i="6" s="1"/>
  <c r="S44" i="6" s="1"/>
  <c r="W44" i="6" s="1"/>
  <c r="S45" i="6" s="1"/>
  <c r="W45" i="6" s="1"/>
  <c r="S46" i="6" s="1"/>
  <c r="W46" i="6" s="1"/>
  <c r="S47" i="6" s="1"/>
  <c r="W47" i="6" s="1"/>
  <c r="S48" i="6" s="1"/>
  <c r="W48" i="6" s="1"/>
  <c r="S49" i="6" s="1"/>
  <c r="W49" i="6" s="1"/>
  <c r="S50" i="6" s="1"/>
  <c r="W50" i="6" s="1"/>
  <c r="S51" i="6" s="1"/>
  <c r="W51" i="6" s="1"/>
  <c r="S52" i="6" s="1"/>
  <c r="W52" i="6" s="1"/>
  <c r="S53" i="6" s="1"/>
  <c r="W53" i="6" s="1"/>
  <c r="S54" i="6" s="1"/>
  <c r="W54" i="6" s="1"/>
  <c r="S55" i="6" s="1"/>
  <c r="W55" i="6" s="1"/>
  <c r="S56" i="6" s="1"/>
  <c r="W56" i="6" s="1"/>
  <c r="S57" i="6" s="1"/>
  <c r="W57" i="6" s="1"/>
  <c r="S58" i="6" s="1"/>
  <c r="W58" i="6" s="1"/>
  <c r="S59" i="6" s="1"/>
  <c r="W59" i="6" s="1"/>
  <c r="S60" i="6" s="1"/>
  <c r="W60" i="6" s="1"/>
  <c r="S61" i="6" s="1"/>
  <c r="W61" i="6" s="1"/>
  <c r="S62" i="6" s="1"/>
  <c r="W62" i="6" s="1"/>
  <c r="S63" i="6" s="1"/>
  <c r="W63" i="6" s="1"/>
  <c r="S64" i="6" s="1"/>
  <c r="W64" i="6" s="1"/>
  <c r="S65" i="6" s="1"/>
  <c r="W65" i="6" s="1"/>
  <c r="S66" i="6" s="1"/>
  <c r="W66" i="6" s="1"/>
  <c r="S67" i="6" s="1"/>
  <c r="W67" i="6" s="1"/>
  <c r="S68" i="6" s="1"/>
  <c r="W68" i="6" s="1"/>
  <c r="S69" i="6" s="1"/>
  <c r="W69" i="6" s="1"/>
  <c r="S70" i="6" s="1"/>
  <c r="W70" i="6" s="1"/>
  <c r="S71" i="6" s="1"/>
  <c r="W71" i="6" s="1"/>
  <c r="S72" i="6" s="1"/>
  <c r="W72" i="6" s="1"/>
  <c r="S73" i="6" s="1"/>
  <c r="W73" i="6" s="1"/>
  <c r="S74" i="6" s="1"/>
  <c r="W74" i="6" s="1"/>
  <c r="S75" i="6" s="1"/>
  <c r="W75" i="6" s="1"/>
  <c r="S76" i="6" s="1"/>
  <c r="W76" i="6" s="1"/>
  <c r="S77" i="6" s="1"/>
  <c r="W77" i="6" s="1"/>
  <c r="S78" i="6" s="1"/>
  <c r="W78" i="6" s="1"/>
  <c r="S79" i="6" s="1"/>
  <c r="W79" i="6" s="1"/>
  <c r="S80" i="6" s="1"/>
  <c r="W80" i="6" s="1"/>
  <c r="S81" i="6" s="1"/>
  <c r="W81" i="6" s="1"/>
  <c r="W28" i="6"/>
  <c r="S29" i="6" s="1"/>
  <c r="W15" i="6"/>
  <c r="S16" i="6" s="1"/>
  <c r="W16" i="6" s="1"/>
  <c r="S17" i="6" s="1"/>
  <c r="W17" i="6" s="1"/>
  <c r="S18" i="6" s="1"/>
  <c r="W18" i="6" s="1"/>
  <c r="U9" i="6"/>
  <c r="H23" i="6"/>
  <c r="J23" i="6"/>
  <c r="L23" i="6" s="1"/>
  <c r="H22" i="6"/>
  <c r="J22" i="6"/>
  <c r="L22" i="6" s="1"/>
  <c r="H24" i="6"/>
  <c r="J24" i="6"/>
  <c r="L24" i="6" s="1"/>
  <c r="O20" i="6"/>
  <c r="M22" i="6"/>
  <c r="N22" i="6" s="1"/>
  <c r="M21" i="6"/>
  <c r="N21" i="6" s="1"/>
  <c r="K24" i="6"/>
  <c r="M24" i="6" s="1"/>
  <c r="N24" i="6" s="1"/>
  <c r="R24" i="6"/>
  <c r="F25" i="6" s="1"/>
  <c r="H19" i="6"/>
  <c r="K20" i="6"/>
  <c r="M20" i="6" s="1"/>
  <c r="N20" i="6" s="1"/>
  <c r="M19" i="6"/>
  <c r="N19" i="6" s="1"/>
  <c r="K15" i="6"/>
  <c r="G15" i="6"/>
  <c r="R15" i="6"/>
  <c r="F16" i="6" s="1"/>
  <c r="M14" i="6"/>
  <c r="N14" i="6" s="1"/>
  <c r="M13" i="6"/>
  <c r="N13" i="6" s="1"/>
  <c r="O13" i="6"/>
  <c r="P9" i="6"/>
  <c r="X21" i="6" l="1"/>
  <c r="W9" i="6"/>
  <c r="S9" i="6"/>
  <c r="R25" i="6"/>
  <c r="F26" i="6" s="1"/>
  <c r="G25" i="6"/>
  <c r="K25" i="6"/>
  <c r="O24" i="6"/>
  <c r="O22" i="6"/>
  <c r="O19" i="6"/>
  <c r="M23" i="6"/>
  <c r="N23" i="6" s="1"/>
  <c r="O21" i="6"/>
  <c r="R16" i="6"/>
  <c r="F17" i="6" s="1"/>
  <c r="K16" i="6"/>
  <c r="G16" i="6"/>
  <c r="J15" i="6"/>
  <c r="H15" i="6"/>
  <c r="O14" i="6"/>
  <c r="X22" i="6" l="1"/>
  <c r="X23" i="6"/>
  <c r="X24" i="6"/>
  <c r="O23" i="6"/>
  <c r="J25" i="6"/>
  <c r="L25" i="6" s="1"/>
  <c r="H25" i="6"/>
  <c r="R26" i="6"/>
  <c r="F27" i="6" s="1"/>
  <c r="G26" i="6"/>
  <c r="K26" i="6"/>
  <c r="L15" i="6"/>
  <c r="R17" i="6"/>
  <c r="K17" i="6"/>
  <c r="G17" i="6"/>
  <c r="J16" i="6"/>
  <c r="L16" i="6" s="1"/>
  <c r="H16" i="6"/>
  <c r="X25" i="6" l="1"/>
  <c r="X26" i="6"/>
  <c r="H26" i="6"/>
  <c r="J26" i="6"/>
  <c r="L26" i="6" s="1"/>
  <c r="R27" i="6"/>
  <c r="F28" i="6" s="1"/>
  <c r="K27" i="6"/>
  <c r="G27" i="6"/>
  <c r="M25" i="6"/>
  <c r="N25" i="6" s="1"/>
  <c r="H17" i="6"/>
  <c r="J17" i="6"/>
  <c r="L17" i="6" s="1"/>
  <c r="M17" i="6"/>
  <c r="N17" i="6" s="1"/>
  <c r="F18" i="6"/>
  <c r="M16" i="6"/>
  <c r="N16" i="6" s="1"/>
  <c r="M15" i="6"/>
  <c r="X27" i="6" l="1"/>
  <c r="X28" i="6"/>
  <c r="R28" i="6"/>
  <c r="F29" i="6" s="1"/>
  <c r="K28" i="6"/>
  <c r="G28" i="6"/>
  <c r="O26" i="6"/>
  <c r="M26" i="6"/>
  <c r="N26" i="6" s="1"/>
  <c r="O25" i="6"/>
  <c r="J27" i="6"/>
  <c r="L27" i="6" s="1"/>
  <c r="H27" i="6"/>
  <c r="M27" i="6"/>
  <c r="N27" i="6" s="1"/>
  <c r="N15" i="6"/>
  <c r="O15" i="6"/>
  <c r="R18" i="6"/>
  <c r="K18" i="6"/>
  <c r="G18" i="6"/>
  <c r="O17" i="6"/>
  <c r="O16" i="6"/>
  <c r="X29" i="6" l="1"/>
  <c r="J28" i="6"/>
  <c r="L28" i="6" s="1"/>
  <c r="H28" i="6"/>
  <c r="O27" i="6"/>
  <c r="M28" i="6"/>
  <c r="N28" i="6" s="1"/>
  <c r="R29" i="6"/>
  <c r="F30" i="6" s="1"/>
  <c r="K29" i="6"/>
  <c r="G29" i="6"/>
  <c r="H18" i="6"/>
  <c r="J18" i="6"/>
  <c r="X30" i="6" l="1"/>
  <c r="H29" i="6"/>
  <c r="J29" i="6"/>
  <c r="L29" i="6" s="1"/>
  <c r="M29" i="6"/>
  <c r="N29" i="6" s="1"/>
  <c r="R30" i="6"/>
  <c r="F31" i="6" s="1"/>
  <c r="G30" i="6"/>
  <c r="K30" i="6"/>
  <c r="O28" i="6"/>
  <c r="L18" i="6"/>
  <c r="X31" i="6" l="1"/>
  <c r="X32" i="6" s="1"/>
  <c r="X33" i="6" s="1"/>
  <c r="X34" i="6" s="1"/>
  <c r="X35" i="6" s="1"/>
  <c r="X36" i="6" s="1"/>
  <c r="X37" i="6" s="1"/>
  <c r="X38" i="6" s="1"/>
  <c r="X39" i="6" s="1"/>
  <c r="X40" i="6" s="1"/>
  <c r="O29" i="6"/>
  <c r="M30" i="6"/>
  <c r="N30" i="6" s="1"/>
  <c r="J30" i="6"/>
  <c r="L30" i="6" s="1"/>
  <c r="H30" i="6"/>
  <c r="G31" i="6"/>
  <c r="R31" i="6"/>
  <c r="K31" i="6"/>
  <c r="M18" i="6"/>
  <c r="X41" i="6" l="1"/>
  <c r="X42" i="6" s="1"/>
  <c r="X43" i="6" s="1"/>
  <c r="O30" i="6"/>
  <c r="F32" i="6"/>
  <c r="J31" i="6"/>
  <c r="L31" i="6" s="1"/>
  <c r="H31" i="6"/>
  <c r="N18" i="6"/>
  <c r="O18" i="6"/>
  <c r="X44" i="6" l="1"/>
  <c r="O31" i="6"/>
  <c r="G32" i="6"/>
  <c r="R32" i="6"/>
  <c r="K32" i="6"/>
  <c r="M31" i="6"/>
  <c r="X45" i="6" l="1"/>
  <c r="F33" i="6"/>
  <c r="J32" i="6"/>
  <c r="H32" i="6"/>
  <c r="N31" i="6"/>
  <c r="X46" i="6" l="1"/>
  <c r="L32" i="6"/>
  <c r="R33" i="6"/>
  <c r="K33" i="6"/>
  <c r="G33" i="6"/>
  <c r="X47" i="6" l="1"/>
  <c r="J33" i="6"/>
  <c r="H33" i="6"/>
  <c r="F34" i="6"/>
  <c r="M32" i="6"/>
  <c r="X48" i="6" l="1"/>
  <c r="N32" i="6"/>
  <c r="O32" i="6"/>
  <c r="L33" i="6"/>
  <c r="K34" i="6"/>
  <c r="G34" i="6"/>
  <c r="R34" i="6"/>
  <c r="F35" i="6" s="1"/>
  <c r="X49" i="6" l="1"/>
  <c r="K35" i="6"/>
  <c r="R35" i="6"/>
  <c r="F36" i="6" s="1"/>
  <c r="G35" i="6"/>
  <c r="J34" i="6"/>
  <c r="H34" i="6"/>
  <c r="M33" i="6"/>
  <c r="X50" i="6" l="1"/>
  <c r="H35" i="6"/>
  <c r="J35" i="6"/>
  <c r="L35" i="6" s="1"/>
  <c r="M35" i="6"/>
  <c r="N35" i="6" s="1"/>
  <c r="N33" i="6"/>
  <c r="O33" i="6"/>
  <c r="L34" i="6"/>
  <c r="K36" i="6"/>
  <c r="R36" i="6"/>
  <c r="F37" i="6" s="1"/>
  <c r="G36" i="6"/>
  <c r="X51" i="6" l="1"/>
  <c r="O35" i="6"/>
  <c r="H36" i="6"/>
  <c r="J36" i="6"/>
  <c r="L36" i="6" s="1"/>
  <c r="R37" i="6"/>
  <c r="F38" i="6" s="1"/>
  <c r="K37" i="6"/>
  <c r="G37" i="6"/>
  <c r="M36" i="6"/>
  <c r="N36" i="6" s="1"/>
  <c r="M34" i="6"/>
  <c r="X52" i="6" l="1"/>
  <c r="N34" i="6"/>
  <c r="O34" i="6"/>
  <c r="H37" i="6"/>
  <c r="J37" i="6"/>
  <c r="L37" i="6" s="1"/>
  <c r="M37" i="6"/>
  <c r="N37" i="6" s="1"/>
  <c r="R38" i="6"/>
  <c r="F39" i="6" s="1"/>
  <c r="G38" i="6"/>
  <c r="K38" i="6"/>
  <c r="O36" i="6"/>
  <c r="X53" i="6" l="1"/>
  <c r="R39" i="6"/>
  <c r="F40" i="6" s="1"/>
  <c r="K39" i="6"/>
  <c r="G39" i="6"/>
  <c r="O37" i="6"/>
  <c r="H38" i="6"/>
  <c r="J38" i="6"/>
  <c r="L38" i="6" s="1"/>
  <c r="X54" i="6" l="1"/>
  <c r="O38" i="6"/>
  <c r="J39" i="6"/>
  <c r="L39" i="6" s="1"/>
  <c r="H39" i="6"/>
  <c r="M39" i="6"/>
  <c r="N39" i="6" s="1"/>
  <c r="R40" i="6"/>
  <c r="F41" i="6" s="1"/>
  <c r="K40" i="6"/>
  <c r="G40" i="6"/>
  <c r="M38" i="6"/>
  <c r="N38" i="6" s="1"/>
  <c r="X55" i="6" l="1"/>
  <c r="O39" i="6"/>
  <c r="J40" i="6"/>
  <c r="L40" i="6" s="1"/>
  <c r="H40" i="6"/>
  <c r="K41" i="6"/>
  <c r="G41" i="6"/>
  <c r="R41" i="6"/>
  <c r="F42" i="6" s="1"/>
  <c r="O40" i="6" l="1"/>
  <c r="R42" i="6"/>
  <c r="F43" i="6" s="1"/>
  <c r="G42" i="6"/>
  <c r="K42" i="6"/>
  <c r="H41" i="6"/>
  <c r="J41" i="6"/>
  <c r="L41" i="6" s="1"/>
  <c r="M41" i="6"/>
  <c r="N41" i="6" s="1"/>
  <c r="M40" i="6"/>
  <c r="N40" i="6" s="1"/>
  <c r="O41" i="6" l="1"/>
  <c r="H42" i="6"/>
  <c r="J42" i="6"/>
  <c r="L42" i="6" s="1"/>
  <c r="R43" i="6"/>
  <c r="F44" i="6" s="1"/>
  <c r="G43" i="6"/>
  <c r="K43" i="6"/>
  <c r="M42" i="6" l="1"/>
  <c r="N42" i="6" s="1"/>
  <c r="H43" i="6"/>
  <c r="J43" i="6"/>
  <c r="L43" i="6" s="1"/>
  <c r="G44" i="6"/>
  <c r="R44" i="6"/>
  <c r="F45" i="6" s="1"/>
  <c r="K44" i="6"/>
  <c r="R45" i="6" l="1"/>
  <c r="F46" i="6" s="1"/>
  <c r="G45" i="6"/>
  <c r="K45" i="6"/>
  <c r="M44" i="6"/>
  <c r="N44" i="6" s="1"/>
  <c r="H44" i="6"/>
  <c r="J44" i="6"/>
  <c r="L44" i="6" s="1"/>
  <c r="M43" i="6"/>
  <c r="N43" i="6" s="1"/>
  <c r="O42" i="6"/>
  <c r="H45" i="6" l="1"/>
  <c r="J45" i="6"/>
  <c r="L45" i="6" s="1"/>
  <c r="R46" i="6"/>
  <c r="F47" i="6" s="1"/>
  <c r="G46" i="6"/>
  <c r="K46" i="6"/>
  <c r="O43" i="6"/>
  <c r="O44" i="6"/>
  <c r="K47" i="6" l="1"/>
  <c r="R47" i="6"/>
  <c r="F48" i="6" s="1"/>
  <c r="G47" i="6"/>
  <c r="M45" i="6"/>
  <c r="N45" i="6" s="1"/>
  <c r="H46" i="6"/>
  <c r="J46" i="6"/>
  <c r="L46" i="6" s="1"/>
  <c r="M46" i="6" l="1"/>
  <c r="N46" i="6" s="1"/>
  <c r="O45" i="6"/>
  <c r="H47" i="6"/>
  <c r="J47" i="6"/>
  <c r="L47" i="6" s="1"/>
  <c r="K48" i="6"/>
  <c r="R48" i="6"/>
  <c r="F49" i="6" s="1"/>
  <c r="G48" i="6"/>
  <c r="M47" i="6"/>
  <c r="N47" i="6" s="1"/>
  <c r="H48" i="6" l="1"/>
  <c r="J48" i="6"/>
  <c r="L48" i="6" s="1"/>
  <c r="K49" i="6"/>
  <c r="G49" i="6"/>
  <c r="R49" i="6"/>
  <c r="F50" i="6" s="1"/>
  <c r="O47" i="6"/>
  <c r="O46" i="6"/>
  <c r="H49" i="6" l="1"/>
  <c r="J49" i="6"/>
  <c r="L49" i="6" s="1"/>
  <c r="M49" i="6"/>
  <c r="N49" i="6" s="1"/>
  <c r="O48" i="6"/>
  <c r="M48" i="6"/>
  <c r="N48" i="6" s="1"/>
  <c r="R50" i="6"/>
  <c r="F51" i="6" s="1"/>
  <c r="K50" i="6"/>
  <c r="G50" i="6"/>
  <c r="O49" i="6" l="1"/>
  <c r="J50" i="6"/>
  <c r="L50" i="6" s="1"/>
  <c r="H50" i="6"/>
  <c r="M50" i="6"/>
  <c r="N50" i="6" s="1"/>
  <c r="R51" i="6"/>
  <c r="F52" i="6" s="1"/>
  <c r="G51" i="6"/>
  <c r="K51" i="6"/>
  <c r="O50" i="6" l="1"/>
  <c r="J51" i="6"/>
  <c r="L51" i="6" s="1"/>
  <c r="H51" i="6"/>
  <c r="G52" i="6"/>
  <c r="K52" i="6"/>
  <c r="R52" i="6"/>
  <c r="F53" i="6" s="1"/>
  <c r="X81" i="6" l="1"/>
  <c r="M51" i="6"/>
  <c r="N51" i="6" s="1"/>
  <c r="R53" i="6"/>
  <c r="F54" i="6" s="1"/>
  <c r="G53" i="6"/>
  <c r="K53" i="6"/>
  <c r="J52" i="6"/>
  <c r="L52" i="6" s="1"/>
  <c r="H52" i="6"/>
  <c r="M52" i="6" l="1"/>
  <c r="N52" i="6" s="1"/>
  <c r="J53" i="6"/>
  <c r="L53" i="6" s="1"/>
  <c r="H53" i="6"/>
  <c r="R54" i="6"/>
  <c r="F55" i="6" s="1"/>
  <c r="K54" i="6"/>
  <c r="G54" i="6"/>
  <c r="O51" i="6"/>
  <c r="M53" i="6" l="1"/>
  <c r="N53" i="6" s="1"/>
  <c r="O52" i="6"/>
  <c r="J54" i="6"/>
  <c r="L54" i="6" s="1"/>
  <c r="H54" i="6"/>
  <c r="K55" i="6"/>
  <c r="R55" i="6"/>
  <c r="F56" i="6" s="1"/>
  <c r="G55" i="6"/>
  <c r="O54" i="6" l="1"/>
  <c r="O53" i="6"/>
  <c r="H55" i="6"/>
  <c r="J55" i="6"/>
  <c r="L55" i="6" s="1"/>
  <c r="G56" i="6"/>
  <c r="R56" i="6"/>
  <c r="F57" i="6" s="1"/>
  <c r="K56" i="6"/>
  <c r="M54" i="6"/>
  <c r="N54" i="6" s="1"/>
  <c r="M55" i="6" l="1"/>
  <c r="N55" i="6" s="1"/>
  <c r="M56" i="6"/>
  <c r="N56" i="6" s="1"/>
  <c r="R57" i="6"/>
  <c r="F58" i="6" s="1"/>
  <c r="K57" i="6"/>
  <c r="G57" i="6"/>
  <c r="H56" i="6"/>
  <c r="J56" i="6"/>
  <c r="L56" i="6" s="1"/>
  <c r="G58" i="6" l="1"/>
  <c r="R58" i="6"/>
  <c r="F59" i="6" s="1"/>
  <c r="K58" i="6"/>
  <c r="O55" i="6"/>
  <c r="O56" i="6"/>
  <c r="H57" i="6"/>
  <c r="J57" i="6"/>
  <c r="L57" i="6" s="1"/>
  <c r="M57" i="6"/>
  <c r="N57" i="6" s="1"/>
  <c r="M58" i="6" l="1"/>
  <c r="N58" i="6" s="1"/>
  <c r="K59" i="6"/>
  <c r="G59" i="6"/>
  <c r="R59" i="6"/>
  <c r="F60" i="6" s="1"/>
  <c r="H58" i="6"/>
  <c r="J58" i="6"/>
  <c r="L58" i="6" s="1"/>
  <c r="O57" i="6"/>
  <c r="K60" i="6" l="1"/>
  <c r="R60" i="6"/>
  <c r="F61" i="6" s="1"/>
  <c r="G60" i="6"/>
  <c r="H59" i="6"/>
  <c r="J59" i="6"/>
  <c r="L59" i="6" s="1"/>
  <c r="M59" i="6"/>
  <c r="N59" i="6" s="1"/>
  <c r="O58" i="6"/>
  <c r="J60" i="6" l="1"/>
  <c r="L60" i="6" s="1"/>
  <c r="H60" i="6"/>
  <c r="R61" i="6"/>
  <c r="F62" i="6" s="1"/>
  <c r="G61" i="6"/>
  <c r="K61" i="6"/>
  <c r="O59" i="6"/>
  <c r="J61" i="6" l="1"/>
  <c r="L61" i="6" s="1"/>
  <c r="H61" i="6"/>
  <c r="R62" i="6"/>
  <c r="F63" i="6" s="1"/>
  <c r="G62" i="6"/>
  <c r="K62" i="6"/>
  <c r="M60" i="6"/>
  <c r="N60" i="6" s="1"/>
  <c r="J62" i="6" l="1"/>
  <c r="L62" i="6" s="1"/>
  <c r="H62" i="6"/>
  <c r="R63" i="6"/>
  <c r="F64" i="6" s="1"/>
  <c r="K63" i="6"/>
  <c r="G63" i="6"/>
  <c r="M61" i="6"/>
  <c r="N61" i="6" s="1"/>
  <c r="O60" i="6"/>
  <c r="M63" i="6" l="1"/>
  <c r="N63" i="6" s="1"/>
  <c r="R64" i="6"/>
  <c r="F65" i="6" s="1"/>
  <c r="K64" i="6"/>
  <c r="G64" i="6"/>
  <c r="M62" i="6"/>
  <c r="N62" i="6" s="1"/>
  <c r="O61" i="6"/>
  <c r="J63" i="6"/>
  <c r="L63" i="6" s="1"/>
  <c r="H63" i="6"/>
  <c r="J64" i="6" l="1"/>
  <c r="L64" i="6" s="1"/>
  <c r="H64" i="6"/>
  <c r="M64" i="6"/>
  <c r="N64" i="6" s="1"/>
  <c r="R65" i="6"/>
  <c r="F66" i="6" s="1"/>
  <c r="K65" i="6"/>
  <c r="G65" i="6"/>
  <c r="O63" i="6"/>
  <c r="O62" i="6"/>
  <c r="R66" i="6" l="1"/>
  <c r="F67" i="6" s="1"/>
  <c r="K66" i="6"/>
  <c r="G66" i="6"/>
  <c r="O64" i="6"/>
  <c r="H65" i="6"/>
  <c r="J65" i="6"/>
  <c r="L65" i="6" s="1"/>
  <c r="M65" i="6"/>
  <c r="N65" i="6" s="1"/>
  <c r="H66" i="6" l="1"/>
  <c r="J66" i="6"/>
  <c r="L66" i="6" s="1"/>
  <c r="M66" i="6"/>
  <c r="N66" i="6" s="1"/>
  <c r="K67" i="6"/>
  <c r="G67" i="6"/>
  <c r="R67" i="6"/>
  <c r="F68" i="6" s="1"/>
  <c r="O65" i="6"/>
  <c r="M67" i="6" l="1"/>
  <c r="N67" i="6"/>
  <c r="O66" i="6"/>
  <c r="G68" i="6"/>
  <c r="K68" i="6"/>
  <c r="R68" i="6"/>
  <c r="F69" i="6" s="1"/>
  <c r="H67" i="6"/>
  <c r="J67" i="6"/>
  <c r="L67" i="6" s="1"/>
  <c r="H68" i="6" l="1"/>
  <c r="J68" i="6"/>
  <c r="L68" i="6" s="1"/>
  <c r="O67" i="6"/>
  <c r="R69" i="6"/>
  <c r="F70" i="6" s="1"/>
  <c r="K69" i="6"/>
  <c r="G69" i="6"/>
  <c r="K70" i="6" l="1"/>
  <c r="G70" i="6"/>
  <c r="R70" i="6"/>
  <c r="F71" i="6" s="1"/>
  <c r="O68" i="6"/>
  <c r="M68" i="6"/>
  <c r="N68" i="6" s="1"/>
  <c r="H69" i="6"/>
  <c r="J69" i="6"/>
  <c r="L69" i="6" s="1"/>
  <c r="M69" i="6"/>
  <c r="N69" i="6" s="1"/>
  <c r="K71" i="6" l="1"/>
  <c r="G71" i="6"/>
  <c r="R71" i="6"/>
  <c r="F72" i="6" s="1"/>
  <c r="J70" i="6"/>
  <c r="L70" i="6" s="1"/>
  <c r="H70" i="6"/>
  <c r="O69" i="6"/>
  <c r="O70" i="6" l="1"/>
  <c r="K72" i="6"/>
  <c r="G72" i="6"/>
  <c r="R72" i="6"/>
  <c r="F73" i="6" s="1"/>
  <c r="H71" i="6"/>
  <c r="J71" i="6"/>
  <c r="L71" i="6" s="1"/>
  <c r="M71" i="6"/>
  <c r="N71" i="6" s="1"/>
  <c r="M70" i="6"/>
  <c r="N70" i="6" s="1"/>
  <c r="K73" i="6" l="1"/>
  <c r="G73" i="6"/>
  <c r="R73" i="6"/>
  <c r="F74" i="6" s="1"/>
  <c r="J72" i="6"/>
  <c r="L72" i="6" s="1"/>
  <c r="H72" i="6"/>
  <c r="O71" i="6"/>
  <c r="R74" i="6" l="1"/>
  <c r="F75" i="6" s="1"/>
  <c r="G74" i="6"/>
  <c r="K74" i="6"/>
  <c r="J73" i="6"/>
  <c r="L73" i="6" s="1"/>
  <c r="H73" i="6"/>
  <c r="M72" i="6"/>
  <c r="N72" i="6" s="1"/>
  <c r="M73" i="6" l="1"/>
  <c r="N73" i="6" s="1"/>
  <c r="H74" i="6"/>
  <c r="J74" i="6"/>
  <c r="L74" i="6" s="1"/>
  <c r="R75" i="6"/>
  <c r="F76" i="6" s="1"/>
  <c r="G75" i="6"/>
  <c r="K75" i="6"/>
  <c r="O72" i="6"/>
  <c r="J75" i="6" l="1"/>
  <c r="L75" i="6" s="1"/>
  <c r="H75" i="6"/>
  <c r="R76" i="6"/>
  <c r="F77" i="6" s="1"/>
  <c r="K76" i="6"/>
  <c r="G76" i="6"/>
  <c r="M74" i="6"/>
  <c r="N74" i="6" s="1"/>
  <c r="O73" i="6"/>
  <c r="K77" i="6" l="1"/>
  <c r="G77" i="6"/>
  <c r="R77" i="6"/>
  <c r="F78" i="6" s="1"/>
  <c r="O75" i="6"/>
  <c r="M75" i="6"/>
  <c r="N75" i="6" s="1"/>
  <c r="O74" i="6"/>
  <c r="J76" i="6"/>
  <c r="L76" i="6" s="1"/>
  <c r="H76" i="6"/>
  <c r="M76" i="6"/>
  <c r="N76" i="6" s="1"/>
  <c r="X9" i="6" l="1"/>
  <c r="R78" i="6"/>
  <c r="F79" i="6" s="1"/>
  <c r="K78" i="6"/>
  <c r="G78" i="6"/>
  <c r="J77" i="6"/>
  <c r="L77" i="6" s="1"/>
  <c r="O77" i="6" s="1"/>
  <c r="H77" i="6"/>
  <c r="M77" i="6"/>
  <c r="N77" i="6" s="1"/>
  <c r="O76" i="6"/>
  <c r="J78" i="6" l="1"/>
  <c r="L78" i="6" s="1"/>
  <c r="H78" i="6"/>
  <c r="M78" i="6"/>
  <c r="N78" i="6" s="1"/>
  <c r="R79" i="6"/>
  <c r="F80" i="6" s="1"/>
  <c r="K79" i="6"/>
  <c r="G79" i="6"/>
  <c r="G80" i="6" l="1"/>
  <c r="R80" i="6"/>
  <c r="F81" i="6" s="1"/>
  <c r="K80" i="6"/>
  <c r="O78" i="6"/>
  <c r="H79" i="6"/>
  <c r="J79" i="6"/>
  <c r="L79" i="6" s="1"/>
  <c r="M79" i="6"/>
  <c r="N79" i="6"/>
  <c r="M80" i="6" l="1"/>
  <c r="N80" i="6" s="1"/>
  <c r="R81" i="6"/>
  <c r="R9" i="6" s="1"/>
  <c r="G81" i="6"/>
  <c r="K81" i="6"/>
  <c r="H80" i="6"/>
  <c r="J80" i="6"/>
  <c r="L80" i="6" s="1"/>
  <c r="O79" i="6"/>
  <c r="K9" i="6" l="1"/>
  <c r="H81" i="6"/>
  <c r="H9" i="6" s="1"/>
  <c r="J81" i="6"/>
  <c r="G9" i="6"/>
  <c r="O80" i="6"/>
  <c r="L81" i="6" l="1"/>
  <c r="J9" i="6"/>
  <c r="L9" i="6" l="1"/>
  <c r="M81" i="6"/>
  <c r="N81" i="6" l="1"/>
  <c r="M9" i="6"/>
  <c r="O81" i="6"/>
  <c r="O9" i="6" s="1"/>
  <c r="N9" i="6" l="1"/>
</calcChain>
</file>

<file path=xl/sharedStrings.xml><?xml version="1.0" encoding="utf-8"?>
<sst xmlns="http://schemas.openxmlformats.org/spreadsheetml/2006/main" count="37" uniqueCount="29">
  <si>
    <t>Coupon</t>
  </si>
  <si>
    <t>Month</t>
  </si>
  <si>
    <t>Interest</t>
  </si>
  <si>
    <t>Principal</t>
  </si>
  <si>
    <t>Open Balance</t>
  </si>
  <si>
    <t>Balance</t>
  </si>
  <si>
    <t>Notes</t>
  </si>
  <si>
    <t>Serv Fee</t>
  </si>
  <si>
    <t>Reserve Account</t>
  </si>
  <si>
    <t>Open Bal</t>
  </si>
  <si>
    <t>Int Due</t>
  </si>
  <si>
    <t>Int Paid</t>
  </si>
  <si>
    <t>End Bal</t>
  </si>
  <si>
    <t>Interest Shortfall</t>
  </si>
  <si>
    <t>Principal Available</t>
  </si>
  <si>
    <t>Principal Paid</t>
  </si>
  <si>
    <t>Ending Balance</t>
  </si>
  <si>
    <t>Bond Amortization</t>
  </si>
  <si>
    <t>Cash Available</t>
  </si>
  <si>
    <t>Initial</t>
  </si>
  <si>
    <t>Collateral Cashflows</t>
  </si>
  <si>
    <t>Required</t>
  </si>
  <si>
    <t>Top-Up</t>
  </si>
  <si>
    <t>XS Release</t>
  </si>
  <si>
    <t>Servicing Fee Due</t>
  </si>
  <si>
    <t>Servicing Fee Paid</t>
  </si>
  <si>
    <t>Servicing Fee</t>
  </si>
  <si>
    <t>Servicing Fee Shortfall</t>
  </si>
  <si>
    <t>Serv Fee Shortfall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</si>
</sst>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-* #,##0_-;\-* #,##0_-;_-* &quot;-&quot;??_-;_-@_-"/>
  </numFmts>
  <fonts count="9" x14ac:knownFonts="1">
    <font>
      <sz val="10"/>
      <name val="Arial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rgb="FF0000FF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b/>
      <sz val="9"/>
      <color rgb="FF0000FF"/>
      <name val="Arial"/>
      <family val="2"/>
    </font>
    <font>
      <b/>
      <sz val="8"/>
      <name val="Arial"/>
      <family val="2"/>
    </font>
    <font>
      <b/>
      <sz val="10"/>
      <color rgb="FFC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3">
    <xf numFmtId="0" fontId="0" fillId="0" borderId="0" xfId="0"/>
    <xf numFmtId="0" fontId="2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165" fontId="5" fillId="0" borderId="0" xfId="1" applyNumberFormat="1" applyFont="1"/>
    <xf numFmtId="0" fontId="3" fillId="0" borderId="0" xfId="0" applyFont="1"/>
    <xf numFmtId="165" fontId="6" fillId="4" borderId="0" xfId="1" applyNumberFormat="1" applyFont="1" applyFill="1" applyAlignment="1">
      <alignment horizontal="center"/>
    </xf>
    <xf numFmtId="9" fontId="3" fillId="4" borderId="0" xfId="0" applyNumberFormat="1" applyFont="1" applyFill="1" applyAlignment="1">
      <alignment horizontal="center"/>
    </xf>
    <xf numFmtId="0" fontId="4" fillId="3" borderId="0" xfId="0" applyFont="1" applyFill="1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7" borderId="0" xfId="0" applyFont="1" applyFill="1" applyAlignment="1">
      <alignment horizontal="center" wrapText="1"/>
    </xf>
    <xf numFmtId="165" fontId="7" fillId="0" borderId="4" xfId="1" applyNumberFormat="1" applyFont="1" applyBorder="1"/>
    <xf numFmtId="10" fontId="3" fillId="4" borderId="0" xfId="0" applyNumberFormat="1" applyFont="1" applyFill="1" applyAlignment="1">
      <alignment horizontal="center"/>
    </xf>
    <xf numFmtId="0" fontId="4" fillId="8" borderId="0" xfId="0" applyFont="1" applyFill="1" applyAlignment="1">
      <alignment horizontal="center" wrapText="1"/>
    </xf>
    <xf numFmtId="165" fontId="0" fillId="0" borderId="0" xfId="0" applyNumberFormat="1"/>
    <xf numFmtId="43" fontId="0" fillId="0" borderId="0" xfId="0" applyNumberFormat="1"/>
    <xf numFmtId="0" fontId="3" fillId="2" borderId="0" xfId="0" applyFont="1" applyFill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4" fillId="6" borderId="3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08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Z81"/>
  <sheetViews>
    <sheetView tabSelected="1" workbookViewId="0">
      <selection activeCell="E9" sqref="E9"/>
    </sheetView>
  </sheetViews>
  <sheetFormatPr defaultRowHeight="12.5" x14ac:dyDescent="0.25"/>
  <cols>
    <col min="1" max="1" width="17.7265625" bestFit="1" customWidth="1"/>
    <col min="2" max="2" width="12" bestFit="1" customWidth="1"/>
    <col min="5" max="5" width="10" bestFit="1" customWidth="1"/>
    <col min="6" max="6" width="12.26953125" bestFit="1" customWidth="1"/>
    <col min="7" max="7" width="13.453125" bestFit="1" customWidth="1"/>
    <col min="8" max="10" width="12.26953125" customWidth="1"/>
    <col min="11" max="11" width="11.26953125" bestFit="1" customWidth="1"/>
    <col min="12" max="12" width="9.81640625" customWidth="1"/>
    <col min="13" max="15" width="9.81640625" bestFit="1" customWidth="1"/>
    <col min="16" max="17" width="10.7265625" bestFit="1" customWidth="1"/>
    <col min="18" max="18" width="12.26953125" bestFit="1" customWidth="1"/>
    <col min="19" max="19" width="9.7265625" customWidth="1"/>
    <col min="20" max="20" width="11.26953125" bestFit="1" customWidth="1"/>
    <col min="21" max="21" width="11.26953125" customWidth="1"/>
    <col min="22" max="23" width="9.81640625" bestFit="1" customWidth="1"/>
    <col min="24" max="24" width="12" bestFit="1" customWidth="1"/>
    <col min="25" max="26" width="10.7265625" bestFit="1" customWidth="1"/>
  </cols>
  <sheetData>
    <row r="2" spans="1:26" ht="13" x14ac:dyDescent="0.3">
      <c r="A2" s="15" t="s">
        <v>6</v>
      </c>
      <c r="B2" s="15"/>
      <c r="C2" s="15"/>
      <c r="E2" s="15" t="s">
        <v>8</v>
      </c>
      <c r="F2" s="15"/>
    </row>
    <row r="3" spans="1:26" ht="13" x14ac:dyDescent="0.3">
      <c r="A3" s="4" t="s">
        <v>5</v>
      </c>
      <c r="B3" s="5">
        <v>430573330</v>
      </c>
      <c r="E3" s="4" t="s">
        <v>19</v>
      </c>
      <c r="F3" s="5">
        <v>1000000</v>
      </c>
    </row>
    <row r="4" spans="1:26" ht="13" x14ac:dyDescent="0.3">
      <c r="A4" s="4" t="s">
        <v>0</v>
      </c>
      <c r="B4" s="6">
        <v>0.03</v>
      </c>
      <c r="E4" s="4" t="s">
        <v>21</v>
      </c>
      <c r="F4" s="5">
        <v>10000000</v>
      </c>
    </row>
    <row r="5" spans="1:26" ht="13" x14ac:dyDescent="0.3">
      <c r="A5" s="4" t="s">
        <v>7</v>
      </c>
      <c r="B5" s="11">
        <v>5.0000000000000001E-3</v>
      </c>
    </row>
    <row r="6" spans="1:26" ht="13" x14ac:dyDescent="0.3">
      <c r="A6" s="4" t="s">
        <v>16</v>
      </c>
      <c r="B6" s="3">
        <f>R81</f>
        <v>-9.0000661358317302E-2</v>
      </c>
      <c r="G6" s="14"/>
    </row>
    <row r="7" spans="1:26" ht="13" x14ac:dyDescent="0.3">
      <c r="A7" s="4" t="s">
        <v>13</v>
      </c>
      <c r="B7" s="3">
        <f>SUM(N12:N81)</f>
        <v>0</v>
      </c>
    </row>
    <row r="8" spans="1:26" ht="13" x14ac:dyDescent="0.3">
      <c r="A8" s="4" t="s">
        <v>28</v>
      </c>
      <c r="B8" s="3">
        <f>I9</f>
        <v>0</v>
      </c>
      <c r="G8" s="14"/>
    </row>
    <row r="9" spans="1:26" ht="13" thickBot="1" x14ac:dyDescent="0.3">
      <c r="G9" s="10">
        <f>SUM(G12:G81)</f>
        <v>4169590.9635658781</v>
      </c>
      <c r="H9" s="10">
        <f t="shared" ref="H9:X9" si="0">SUM(H12:H81)</f>
        <v>4169590.9635658781</v>
      </c>
      <c r="I9" s="10">
        <f t="shared" si="0"/>
        <v>0</v>
      </c>
      <c r="J9" s="10">
        <f t="shared" si="0"/>
        <v>77233100.215758085</v>
      </c>
      <c r="K9" s="10">
        <f t="shared" si="0"/>
        <v>25017545.781395279</v>
      </c>
      <c r="L9" s="10">
        <f t="shared" si="0"/>
        <v>77233100.215758085</v>
      </c>
      <c r="M9" s="10">
        <f t="shared" si="0"/>
        <v>25017545.781395279</v>
      </c>
      <c r="N9" s="10">
        <f t="shared" si="0"/>
        <v>0</v>
      </c>
      <c r="O9" s="10">
        <f t="shared" si="0"/>
        <v>52215554.434362866</v>
      </c>
      <c r="P9" s="10">
        <f t="shared" si="0"/>
        <v>430573330.09000075</v>
      </c>
      <c r="Q9" s="10">
        <f t="shared" si="0"/>
        <v>430573330.09000075</v>
      </c>
      <c r="R9" s="10">
        <f t="shared" si="0"/>
        <v>9576444982.468111</v>
      </c>
      <c r="S9" s="10">
        <f t="shared" si="0"/>
        <v>2868254980.3870783</v>
      </c>
      <c r="T9" s="10">
        <f t="shared" si="0"/>
        <v>700000000</v>
      </c>
      <c r="U9" s="10">
        <f t="shared" si="0"/>
        <v>52215554.434362866</v>
      </c>
      <c r="V9" s="10">
        <f t="shared" si="0"/>
        <v>52215554.434362866</v>
      </c>
      <c r="W9" s="10">
        <f t="shared" si="0"/>
        <v>2920470534.8214412</v>
      </c>
      <c r="X9" s="10">
        <f t="shared" si="0"/>
        <v>43215554.434362851</v>
      </c>
    </row>
    <row r="10" spans="1:26" ht="13.5" thickBot="1" x14ac:dyDescent="0.35">
      <c r="B10" s="16" t="s">
        <v>20</v>
      </c>
      <c r="C10" s="16"/>
      <c r="G10" s="20" t="s">
        <v>26</v>
      </c>
      <c r="H10" s="21"/>
      <c r="I10" s="21"/>
      <c r="J10" s="22"/>
      <c r="K10" s="17" t="s">
        <v>17</v>
      </c>
      <c r="L10" s="18"/>
      <c r="M10" s="18"/>
      <c r="N10" s="18"/>
      <c r="O10" s="18"/>
      <c r="P10" s="18"/>
      <c r="Q10" s="18"/>
      <c r="R10" s="19"/>
      <c r="S10" s="17" t="s">
        <v>8</v>
      </c>
      <c r="T10" s="18"/>
      <c r="U10" s="18"/>
      <c r="V10" s="18"/>
      <c r="W10" s="18"/>
      <c r="X10" s="19"/>
    </row>
    <row r="11" spans="1:26" ht="26" x14ac:dyDescent="0.3">
      <c r="A11" s="2" t="s">
        <v>1</v>
      </c>
      <c r="B11" s="7" t="s">
        <v>3</v>
      </c>
      <c r="C11" s="7" t="s">
        <v>2</v>
      </c>
      <c r="E11" s="2" t="s">
        <v>1</v>
      </c>
      <c r="F11" s="8" t="s">
        <v>9</v>
      </c>
      <c r="G11" s="12" t="s">
        <v>24</v>
      </c>
      <c r="H11" s="12" t="s">
        <v>25</v>
      </c>
      <c r="I11" s="12" t="s">
        <v>27</v>
      </c>
      <c r="J11" s="12" t="s">
        <v>18</v>
      </c>
      <c r="K11" s="8" t="s">
        <v>10</v>
      </c>
      <c r="L11" s="8" t="s">
        <v>18</v>
      </c>
      <c r="M11" s="8" t="s">
        <v>11</v>
      </c>
      <c r="N11" s="8" t="s">
        <v>13</v>
      </c>
      <c r="O11" s="8" t="s">
        <v>18</v>
      </c>
      <c r="P11" s="8" t="s">
        <v>14</v>
      </c>
      <c r="Q11" s="8" t="s">
        <v>15</v>
      </c>
      <c r="R11" s="8" t="s">
        <v>12</v>
      </c>
      <c r="S11" s="9" t="s">
        <v>4</v>
      </c>
      <c r="T11" s="9" t="s">
        <v>21</v>
      </c>
      <c r="U11" s="9" t="s">
        <v>18</v>
      </c>
      <c r="V11" s="9" t="s">
        <v>22</v>
      </c>
      <c r="W11" s="9" t="s">
        <v>16</v>
      </c>
      <c r="X11" s="9" t="s">
        <v>23</v>
      </c>
    </row>
    <row r="12" spans="1:26" ht="14.5" x14ac:dyDescent="0.35">
      <c r="A12" s="1">
        <v>1</v>
      </c>
      <c r="B12" s="3">
        <v>9760926.4007880446</v>
      </c>
      <c r="C12" s="3">
        <v>3510373.6070527602</v>
      </c>
      <c r="E12" s="1">
        <v>1</v>
      </c>
      <c r="F12" s="3">
        <f>B3</f>
        <v>430573330</v>
      </c>
      <c r="G12" s="3">
        <f t="shared" ref="G12:G43" si="1">F12*(ServicingFee/12)</f>
        <v>179405.55416666667</v>
      </c>
      <c r="H12" s="3">
        <f>MIN(G12,C12)</f>
        <v>179405.55416666667</v>
      </c>
      <c r="I12" s="3">
        <f>G12-H12</f>
        <v>0</v>
      </c>
      <c r="J12" s="3">
        <f>C12-G12</f>
        <v>3330968.0528860935</v>
      </c>
      <c r="K12" s="3">
        <f t="shared" ref="K12:K43" si="2">F12*(Coupon/12)</f>
        <v>1076433.325</v>
      </c>
      <c r="L12" s="3">
        <f>J12</f>
        <v>3330968.0528860935</v>
      </c>
      <c r="M12" s="3">
        <f>MIN(K12,L12)</f>
        <v>1076433.325</v>
      </c>
      <c r="N12" s="3">
        <f>K12-M12</f>
        <v>0</v>
      </c>
      <c r="O12" s="3">
        <f>L12-M12</f>
        <v>2254534.7278860938</v>
      </c>
      <c r="P12" s="3">
        <f>B12</f>
        <v>9760926.4007880446</v>
      </c>
      <c r="Q12" s="3">
        <f>P12</f>
        <v>9760926.4007880446</v>
      </c>
      <c r="R12" s="3">
        <f>F12-Q12</f>
        <v>420812403.59921193</v>
      </c>
      <c r="S12" s="3">
        <f>F3</f>
        <v>1000000</v>
      </c>
      <c r="T12" s="3">
        <f>F4</f>
        <v>10000000</v>
      </c>
      <c r="U12" s="3">
        <f>O12</f>
        <v>2254534.7278860938</v>
      </c>
      <c r="V12" s="3">
        <f>MAX(0,C12-H12-K12)</f>
        <v>2254534.7278860938</v>
      </c>
      <c r="W12" s="3">
        <f>S12+U12</f>
        <v>3254534.7278860938</v>
      </c>
      <c r="X12" s="3">
        <v>0</v>
      </c>
    </row>
    <row r="13" spans="1:26" ht="14.5" x14ac:dyDescent="0.35">
      <c r="A13" s="1">
        <v>2</v>
      </c>
      <c r="B13" s="3">
        <v>9840256.9192631133</v>
      </c>
      <c r="C13" s="3">
        <v>3431043.088577772</v>
      </c>
      <c r="E13" s="1">
        <v>2</v>
      </c>
      <c r="F13" s="3">
        <f>R12</f>
        <v>420812403.59921193</v>
      </c>
      <c r="G13" s="3">
        <f t="shared" si="1"/>
        <v>175338.50149967166</v>
      </c>
      <c r="H13" s="3">
        <f t="shared" ref="H13:H76" si="3">MIN(G13,C13)</f>
        <v>175338.50149967166</v>
      </c>
      <c r="I13" s="3">
        <v>0</v>
      </c>
      <c r="J13" s="3">
        <f t="shared" ref="J13:J76" si="4">C13-G13</f>
        <v>3255704.5870781005</v>
      </c>
      <c r="K13" s="3">
        <f t="shared" si="2"/>
        <v>1052031.0089980299</v>
      </c>
      <c r="L13" s="3">
        <f t="shared" ref="L13:L76" si="5">J13</f>
        <v>3255704.5870781005</v>
      </c>
      <c r="M13" s="3">
        <f t="shared" ref="M13:M76" si="6">MIN(K13,L13)</f>
        <v>1052031.0089980299</v>
      </c>
      <c r="N13" s="3">
        <f t="shared" ref="N13:N76" si="7">K13-M13</f>
        <v>0</v>
      </c>
      <c r="O13" s="3">
        <f t="shared" ref="O13:O76" si="8">L13-M13</f>
        <v>2203673.5780800707</v>
      </c>
      <c r="P13" s="3">
        <f t="shared" ref="P13:P76" si="9">B13</f>
        <v>9840256.9192631133</v>
      </c>
      <c r="Q13" s="3">
        <f t="shared" ref="Q13:Q76" si="10">P13</f>
        <v>9840256.9192631133</v>
      </c>
      <c r="R13" s="3">
        <f t="shared" ref="R13:R76" si="11">F13-Q13</f>
        <v>410972146.67994881</v>
      </c>
      <c r="S13" s="3">
        <f>W12</f>
        <v>3254534.7278860938</v>
      </c>
      <c r="T13" s="3">
        <v>10000000</v>
      </c>
      <c r="U13" s="3">
        <f t="shared" ref="U13:U76" si="12">O13</f>
        <v>2203673.5780800707</v>
      </c>
      <c r="V13" s="3">
        <f t="shared" ref="V13:V76" si="13">MAX(0,C13-H13-K13)</f>
        <v>2203673.5780800707</v>
      </c>
      <c r="W13" s="3">
        <f t="shared" ref="W13:W76" si="14">S13+U13</f>
        <v>5458208.3059661649</v>
      </c>
      <c r="X13" s="3">
        <v>0</v>
      </c>
    </row>
    <row r="14" spans="1:26" ht="14.5" x14ac:dyDescent="0.35">
      <c r="A14" s="1">
        <v>3</v>
      </c>
      <c r="B14" s="3">
        <v>9901632.1463263258</v>
      </c>
      <c r="C14" s="3">
        <v>3351040.7029431947</v>
      </c>
      <c r="E14" s="1">
        <v>3</v>
      </c>
      <c r="F14" s="3">
        <f t="shared" ref="F14:F77" si="15">R13</f>
        <v>410972146.67994881</v>
      </c>
      <c r="G14" s="3">
        <f t="shared" si="1"/>
        <v>171238.39444997869</v>
      </c>
      <c r="H14" s="3">
        <f t="shared" si="3"/>
        <v>171238.39444997869</v>
      </c>
      <c r="I14" s="3">
        <v>0</v>
      </c>
      <c r="J14" s="3">
        <f t="shared" si="4"/>
        <v>3179802.3084932161</v>
      </c>
      <c r="K14" s="3">
        <f t="shared" si="2"/>
        <v>1027430.3666998721</v>
      </c>
      <c r="L14" s="3">
        <f t="shared" si="5"/>
        <v>3179802.3084932161</v>
      </c>
      <c r="M14" s="3">
        <f t="shared" si="6"/>
        <v>1027430.3666998721</v>
      </c>
      <c r="N14" s="3">
        <f t="shared" si="7"/>
        <v>0</v>
      </c>
      <c r="O14" s="3">
        <f t="shared" si="8"/>
        <v>2152371.941793344</v>
      </c>
      <c r="P14" s="3">
        <f t="shared" si="9"/>
        <v>9901632.1463263258</v>
      </c>
      <c r="Q14" s="3">
        <f t="shared" si="10"/>
        <v>9901632.1463263258</v>
      </c>
      <c r="R14" s="3">
        <f t="shared" si="11"/>
        <v>401070514.5336225</v>
      </c>
      <c r="S14" s="3">
        <f t="shared" ref="S14:S77" si="16">W13</f>
        <v>5458208.3059661649</v>
      </c>
      <c r="T14" s="3">
        <v>10000000</v>
      </c>
      <c r="U14" s="3">
        <f t="shared" si="12"/>
        <v>2152371.941793344</v>
      </c>
      <c r="V14" s="3">
        <f t="shared" si="13"/>
        <v>2152371.941793344</v>
      </c>
      <c r="W14" s="3">
        <f t="shared" si="14"/>
        <v>7610580.2477595089</v>
      </c>
      <c r="X14" s="3">
        <v>0</v>
      </c>
    </row>
    <row r="15" spans="1:26" ht="14.5" x14ac:dyDescent="0.35">
      <c r="A15" s="1">
        <v>4</v>
      </c>
      <c r="B15" s="3">
        <v>9945754.4068952017</v>
      </c>
      <c r="C15" s="3">
        <v>3270493.5474914308</v>
      </c>
      <c r="E15" s="1">
        <v>4</v>
      </c>
      <c r="F15" s="3">
        <f t="shared" si="15"/>
        <v>401070514.5336225</v>
      </c>
      <c r="G15" s="3">
        <f t="shared" si="1"/>
        <v>167112.7143890094</v>
      </c>
      <c r="H15" s="3">
        <f t="shared" si="3"/>
        <v>167112.7143890094</v>
      </c>
      <c r="I15" s="3">
        <v>0</v>
      </c>
      <c r="J15" s="3">
        <f t="shared" si="4"/>
        <v>3103380.8331024214</v>
      </c>
      <c r="K15" s="3">
        <f t="shared" si="2"/>
        <v>1002676.2863340563</v>
      </c>
      <c r="L15" s="3">
        <f t="shared" si="5"/>
        <v>3103380.8331024214</v>
      </c>
      <c r="M15" s="3">
        <f t="shared" si="6"/>
        <v>1002676.2863340563</v>
      </c>
      <c r="N15" s="3">
        <f t="shared" si="7"/>
        <v>0</v>
      </c>
      <c r="O15" s="3">
        <f t="shared" si="8"/>
        <v>2100704.546768365</v>
      </c>
      <c r="P15" s="3">
        <f t="shared" si="9"/>
        <v>9945754.4068952017</v>
      </c>
      <c r="Q15" s="3">
        <f t="shared" si="10"/>
        <v>9945754.4068952017</v>
      </c>
      <c r="R15" s="3">
        <f t="shared" si="11"/>
        <v>391124760.12672728</v>
      </c>
      <c r="S15" s="3">
        <f t="shared" si="16"/>
        <v>7610580.2477595089</v>
      </c>
      <c r="T15" s="3">
        <v>10000000</v>
      </c>
      <c r="U15" s="3">
        <f t="shared" si="12"/>
        <v>2100704.546768365</v>
      </c>
      <c r="V15" s="3">
        <f t="shared" si="13"/>
        <v>2100704.546768365</v>
      </c>
      <c r="W15" s="3">
        <f t="shared" si="14"/>
        <v>9711284.7945278734</v>
      </c>
      <c r="X15" s="3">
        <v>0</v>
      </c>
    </row>
    <row r="16" spans="1:26" ht="14.5" x14ac:dyDescent="0.35">
      <c r="A16" s="1">
        <v>5</v>
      </c>
      <c r="B16" s="3">
        <v>9972451.3734951038</v>
      </c>
      <c r="C16" s="3">
        <v>3189530.9995763614</v>
      </c>
      <c r="E16" s="1">
        <v>5</v>
      </c>
      <c r="F16" s="3">
        <f t="shared" si="15"/>
        <v>391124760.12672728</v>
      </c>
      <c r="G16" s="3">
        <f t="shared" si="1"/>
        <v>162968.65005280304</v>
      </c>
      <c r="H16" s="3">
        <f t="shared" si="3"/>
        <v>162968.65005280304</v>
      </c>
      <c r="I16" s="3">
        <v>0</v>
      </c>
      <c r="J16" s="3">
        <f t="shared" si="4"/>
        <v>3026562.3495235583</v>
      </c>
      <c r="K16" s="3">
        <f t="shared" si="2"/>
        <v>977811.90031681827</v>
      </c>
      <c r="L16" s="3">
        <f t="shared" si="5"/>
        <v>3026562.3495235583</v>
      </c>
      <c r="M16" s="3">
        <f t="shared" si="6"/>
        <v>977811.90031681827</v>
      </c>
      <c r="N16" s="3">
        <f t="shared" si="7"/>
        <v>0</v>
      </c>
      <c r="O16" s="3">
        <f t="shared" si="8"/>
        <v>2048750.4492067401</v>
      </c>
      <c r="P16" s="3">
        <f t="shared" si="9"/>
        <v>9972451.3734951038</v>
      </c>
      <c r="Q16" s="3">
        <f t="shared" si="10"/>
        <v>9972451.3734951038</v>
      </c>
      <c r="R16" s="3">
        <f t="shared" si="11"/>
        <v>381152308.75323218</v>
      </c>
      <c r="S16" s="3">
        <f t="shared" si="16"/>
        <v>9711284.7945278734</v>
      </c>
      <c r="T16" s="3">
        <v>10000000</v>
      </c>
      <c r="U16" s="3">
        <f t="shared" si="12"/>
        <v>2048750.4492067401</v>
      </c>
      <c r="V16" s="3">
        <f t="shared" si="13"/>
        <v>2048750.4492067401</v>
      </c>
      <c r="W16" s="3">
        <f t="shared" si="14"/>
        <v>11760035.243734613</v>
      </c>
      <c r="X16" s="3">
        <f>W16-T16</f>
        <v>1760035.2437346131</v>
      </c>
      <c r="Z16" s="3"/>
    </row>
    <row r="17" spans="1:26" ht="14.5" x14ac:dyDescent="0.35">
      <c r="A17" s="1">
        <v>6</v>
      </c>
      <c r="B17" s="3">
        <v>10002255.352142954</v>
      </c>
      <c r="C17" s="3">
        <v>3108299.5466114325</v>
      </c>
      <c r="E17" s="1">
        <v>6</v>
      </c>
      <c r="F17" s="3">
        <f t="shared" si="15"/>
        <v>381152308.75323218</v>
      </c>
      <c r="G17" s="3">
        <f t="shared" si="1"/>
        <v>158813.46198051341</v>
      </c>
      <c r="H17" s="3">
        <f t="shared" si="3"/>
        <v>158813.46198051341</v>
      </c>
      <c r="I17" s="3">
        <v>0</v>
      </c>
      <c r="J17" s="3">
        <f t="shared" si="4"/>
        <v>2949486.0846309192</v>
      </c>
      <c r="K17" s="3">
        <f t="shared" si="2"/>
        <v>952880.77188308048</v>
      </c>
      <c r="L17" s="3">
        <f t="shared" si="5"/>
        <v>2949486.0846309192</v>
      </c>
      <c r="M17" s="3">
        <f t="shared" si="6"/>
        <v>952880.77188308048</v>
      </c>
      <c r="N17" s="3">
        <f t="shared" si="7"/>
        <v>0</v>
      </c>
      <c r="O17" s="3">
        <f t="shared" si="8"/>
        <v>1996605.3127478387</v>
      </c>
      <c r="P17" s="3">
        <f t="shared" si="9"/>
        <v>10002255.352142954</v>
      </c>
      <c r="Q17" s="3">
        <f t="shared" si="10"/>
        <v>10002255.352142954</v>
      </c>
      <c r="R17" s="3">
        <f t="shared" si="11"/>
        <v>371150053.40108925</v>
      </c>
      <c r="S17" s="3">
        <f t="shared" si="16"/>
        <v>11760035.243734613</v>
      </c>
      <c r="T17" s="3">
        <v>10000000</v>
      </c>
      <c r="U17" s="3">
        <f t="shared" si="12"/>
        <v>1996605.3127478387</v>
      </c>
      <c r="V17" s="3">
        <f t="shared" si="13"/>
        <v>1996605.3127478387</v>
      </c>
      <c r="W17" s="3">
        <f t="shared" si="14"/>
        <v>13756640.556482451</v>
      </c>
      <c r="X17" s="3">
        <f>(W17-T17)-SUM(X16)</f>
        <v>1996605.312747838</v>
      </c>
      <c r="Y17" s="13"/>
      <c r="Z17" s="3"/>
    </row>
    <row r="18" spans="1:26" ht="14.5" x14ac:dyDescent="0.35">
      <c r="A18" s="1">
        <v>7</v>
      </c>
      <c r="B18" s="3">
        <v>10027511.280700974</v>
      </c>
      <c r="C18" s="3">
        <v>3026769.9073300436</v>
      </c>
      <c r="E18" s="1">
        <v>7</v>
      </c>
      <c r="F18" s="3">
        <f t="shared" si="15"/>
        <v>371150053.40108925</v>
      </c>
      <c r="G18" s="3">
        <f t="shared" si="1"/>
        <v>154645.8555837872</v>
      </c>
      <c r="H18" s="3">
        <f t="shared" si="3"/>
        <v>154645.8555837872</v>
      </c>
      <c r="I18" s="3">
        <v>0</v>
      </c>
      <c r="J18" s="3">
        <f t="shared" si="4"/>
        <v>2872124.0517462566</v>
      </c>
      <c r="K18" s="3">
        <f t="shared" si="2"/>
        <v>927875.13350272318</v>
      </c>
      <c r="L18" s="3">
        <f t="shared" si="5"/>
        <v>2872124.0517462566</v>
      </c>
      <c r="M18" s="3">
        <f t="shared" si="6"/>
        <v>927875.13350272318</v>
      </c>
      <c r="N18" s="3">
        <f t="shared" si="7"/>
        <v>0</v>
      </c>
      <c r="O18" s="3">
        <f t="shared" si="8"/>
        <v>1944248.9182435335</v>
      </c>
      <c r="P18" s="3">
        <f t="shared" si="9"/>
        <v>10027511.280700974</v>
      </c>
      <c r="Q18" s="3">
        <f t="shared" si="10"/>
        <v>10027511.280700974</v>
      </c>
      <c r="R18" s="3">
        <f t="shared" si="11"/>
        <v>361122542.12038827</v>
      </c>
      <c r="S18" s="3">
        <f t="shared" si="16"/>
        <v>13756640.556482451</v>
      </c>
      <c r="T18" s="3">
        <v>10000000</v>
      </c>
      <c r="U18" s="3">
        <f t="shared" si="12"/>
        <v>1944248.9182435335</v>
      </c>
      <c r="V18" s="3">
        <f t="shared" si="13"/>
        <v>1944248.9182435335</v>
      </c>
      <c r="W18" s="3">
        <f t="shared" si="14"/>
        <v>15700889.474725984</v>
      </c>
      <c r="X18" s="3">
        <f>(W18-T18)-SUM(X16:X17)</f>
        <v>1944248.918243533</v>
      </c>
      <c r="Z18" s="3"/>
    </row>
    <row r="19" spans="1:26" ht="14.5" x14ac:dyDescent="0.35">
      <c r="A19" s="1">
        <v>8</v>
      </c>
      <c r="B19" s="3">
        <v>10054820.859038683</v>
      </c>
      <c r="C19" s="3">
        <v>2944977.5143823777</v>
      </c>
      <c r="E19" s="1">
        <v>8</v>
      </c>
      <c r="F19" s="3">
        <f t="shared" si="15"/>
        <v>361122542.12038827</v>
      </c>
      <c r="G19" s="3">
        <f t="shared" si="1"/>
        <v>150467.72588349512</v>
      </c>
      <c r="H19" s="3">
        <f t="shared" si="3"/>
        <v>150467.72588349512</v>
      </c>
      <c r="I19" s="3">
        <v>0</v>
      </c>
      <c r="J19" s="3">
        <f t="shared" si="4"/>
        <v>2794509.7884988827</v>
      </c>
      <c r="K19" s="3">
        <f t="shared" si="2"/>
        <v>902806.35530097072</v>
      </c>
      <c r="L19" s="3">
        <f t="shared" si="5"/>
        <v>2794509.7884988827</v>
      </c>
      <c r="M19" s="3">
        <f t="shared" si="6"/>
        <v>902806.35530097072</v>
      </c>
      <c r="N19" s="3">
        <f t="shared" si="7"/>
        <v>0</v>
      </c>
      <c r="O19" s="3">
        <f t="shared" si="8"/>
        <v>1891703.4331979118</v>
      </c>
      <c r="P19" s="3">
        <f t="shared" si="9"/>
        <v>10054820.859038683</v>
      </c>
      <c r="Q19" s="3">
        <f t="shared" si="10"/>
        <v>10054820.859038683</v>
      </c>
      <c r="R19" s="3">
        <f t="shared" si="11"/>
        <v>351067721.26134956</v>
      </c>
      <c r="S19" s="3">
        <f t="shared" si="16"/>
        <v>15700889.474725984</v>
      </c>
      <c r="T19" s="3">
        <v>10000000</v>
      </c>
      <c r="U19" s="3">
        <f t="shared" si="12"/>
        <v>1891703.4331979118</v>
      </c>
      <c r="V19" s="3">
        <f t="shared" si="13"/>
        <v>1891703.4331979118</v>
      </c>
      <c r="W19" s="3">
        <f t="shared" si="14"/>
        <v>17592592.907923896</v>
      </c>
      <c r="X19" s="3">
        <f>(W19-T19)-SUM(X16:X18)</f>
        <v>1891703.4331979118</v>
      </c>
    </row>
    <row r="20" spans="1:26" ht="14.5" x14ac:dyDescent="0.35">
      <c r="A20" s="1">
        <v>9</v>
      </c>
      <c r="B20" s="3">
        <v>10076137.135990338</v>
      </c>
      <c r="C20" s="3">
        <v>2862934.679128319</v>
      </c>
      <c r="E20" s="1">
        <v>9</v>
      </c>
      <c r="F20" s="3">
        <f t="shared" si="15"/>
        <v>351067721.26134956</v>
      </c>
      <c r="G20" s="3">
        <f t="shared" si="1"/>
        <v>146278.217192229</v>
      </c>
      <c r="H20" s="3">
        <f t="shared" si="3"/>
        <v>146278.217192229</v>
      </c>
      <c r="I20" s="3">
        <v>0</v>
      </c>
      <c r="J20" s="3">
        <f t="shared" si="4"/>
        <v>2716656.4619360901</v>
      </c>
      <c r="K20" s="3">
        <f t="shared" si="2"/>
        <v>877669.30315337388</v>
      </c>
      <c r="L20" s="3">
        <f t="shared" si="5"/>
        <v>2716656.4619360901</v>
      </c>
      <c r="M20" s="3">
        <f t="shared" si="6"/>
        <v>877669.30315337388</v>
      </c>
      <c r="N20" s="3">
        <f t="shared" si="7"/>
        <v>0</v>
      </c>
      <c r="O20" s="3">
        <f t="shared" si="8"/>
        <v>1838987.1587827164</v>
      </c>
      <c r="P20" s="3">
        <f t="shared" si="9"/>
        <v>10076137.135990338</v>
      </c>
      <c r="Q20" s="3">
        <f t="shared" si="10"/>
        <v>10076137.135990338</v>
      </c>
      <c r="R20" s="3">
        <f t="shared" si="11"/>
        <v>340991584.12535924</v>
      </c>
      <c r="S20" s="3">
        <f t="shared" si="16"/>
        <v>17592592.907923896</v>
      </c>
      <c r="T20" s="3">
        <v>10000000</v>
      </c>
      <c r="U20" s="3">
        <f t="shared" si="12"/>
        <v>1838987.1587827164</v>
      </c>
      <c r="V20" s="3">
        <f t="shared" si="13"/>
        <v>1838987.1587827164</v>
      </c>
      <c r="W20" s="3">
        <f t="shared" si="14"/>
        <v>19431580.066706613</v>
      </c>
      <c r="X20" s="3">
        <f>(W20-T20)-SUM(X12:X19)</f>
        <v>1838987.1587827168</v>
      </c>
    </row>
    <row r="21" spans="1:26" ht="14.5" x14ac:dyDescent="0.35">
      <c r="A21" s="1">
        <v>10</v>
      </c>
      <c r="B21" s="3">
        <v>10108884.72864821</v>
      </c>
      <c r="C21" s="3">
        <v>2780690.3386119111</v>
      </c>
      <c r="E21" s="1">
        <v>10</v>
      </c>
      <c r="F21" s="3">
        <f t="shared" si="15"/>
        <v>340991584.12535924</v>
      </c>
      <c r="G21" s="3">
        <f t="shared" si="1"/>
        <v>142079.82671889968</v>
      </c>
      <c r="H21" s="3">
        <f t="shared" si="3"/>
        <v>142079.82671889968</v>
      </c>
      <c r="I21" s="3">
        <v>0</v>
      </c>
      <c r="J21" s="3">
        <f t="shared" si="4"/>
        <v>2638610.5118930112</v>
      </c>
      <c r="K21" s="3">
        <f t="shared" si="2"/>
        <v>852478.96031339816</v>
      </c>
      <c r="L21" s="3">
        <f t="shared" si="5"/>
        <v>2638610.5118930112</v>
      </c>
      <c r="M21" s="3">
        <f t="shared" si="6"/>
        <v>852478.96031339816</v>
      </c>
      <c r="N21" s="3">
        <f t="shared" si="7"/>
        <v>0</v>
      </c>
      <c r="O21" s="3">
        <f t="shared" si="8"/>
        <v>1786131.551579613</v>
      </c>
      <c r="P21" s="3">
        <f t="shared" si="9"/>
        <v>10108884.72864821</v>
      </c>
      <c r="Q21" s="3">
        <f t="shared" si="10"/>
        <v>10108884.72864821</v>
      </c>
      <c r="R21" s="3">
        <f t="shared" si="11"/>
        <v>330882699.39671105</v>
      </c>
      <c r="S21" s="3">
        <f t="shared" si="16"/>
        <v>19431580.066706613</v>
      </c>
      <c r="T21" s="3">
        <v>10000000</v>
      </c>
      <c r="U21" s="3">
        <f t="shared" si="12"/>
        <v>1786131.551579613</v>
      </c>
      <c r="V21" s="3">
        <f t="shared" si="13"/>
        <v>1786131.551579613</v>
      </c>
      <c r="W21" s="3">
        <f t="shared" si="14"/>
        <v>21217711.618286226</v>
      </c>
      <c r="X21" s="3">
        <f>(W21-T21)-SUM(X12:X20)</f>
        <v>1786131.5515796132</v>
      </c>
    </row>
    <row r="22" spans="1:26" ht="14.5" x14ac:dyDescent="0.35">
      <c r="A22" s="1">
        <v>11</v>
      </c>
      <c r="B22" s="3">
        <v>10136877.504230423</v>
      </c>
      <c r="C22" s="3">
        <v>2698155.7389953942</v>
      </c>
      <c r="E22" s="1">
        <v>11</v>
      </c>
      <c r="F22" s="3">
        <f t="shared" si="15"/>
        <v>330882699.39671105</v>
      </c>
      <c r="G22" s="3">
        <f t="shared" si="1"/>
        <v>137867.79141529629</v>
      </c>
      <c r="H22" s="3">
        <f t="shared" si="3"/>
        <v>137867.79141529629</v>
      </c>
      <c r="I22" s="3">
        <v>0</v>
      </c>
      <c r="J22" s="3">
        <f t="shared" si="4"/>
        <v>2560287.9475800977</v>
      </c>
      <c r="K22" s="3">
        <f t="shared" si="2"/>
        <v>827206.74849177769</v>
      </c>
      <c r="L22" s="3">
        <f t="shared" si="5"/>
        <v>2560287.9475800977</v>
      </c>
      <c r="M22" s="3">
        <f t="shared" si="6"/>
        <v>827206.74849177769</v>
      </c>
      <c r="N22" s="3">
        <f t="shared" si="7"/>
        <v>0</v>
      </c>
      <c r="O22" s="3">
        <f t="shared" si="8"/>
        <v>1733081.1990883201</v>
      </c>
      <c r="P22" s="3">
        <f t="shared" si="9"/>
        <v>10136877.504230423</v>
      </c>
      <c r="Q22" s="3">
        <f t="shared" si="10"/>
        <v>10136877.504230423</v>
      </c>
      <c r="R22" s="3">
        <f t="shared" si="11"/>
        <v>320745821.89248061</v>
      </c>
      <c r="S22" s="3">
        <f t="shared" si="16"/>
        <v>21217711.618286226</v>
      </c>
      <c r="T22" s="3">
        <v>10000000</v>
      </c>
      <c r="U22" s="3">
        <f t="shared" si="12"/>
        <v>1733081.1990883201</v>
      </c>
      <c r="V22" s="3">
        <f t="shared" si="13"/>
        <v>1733081.1990883201</v>
      </c>
      <c r="W22" s="3">
        <f t="shared" si="14"/>
        <v>22950792.817374546</v>
      </c>
      <c r="X22" s="3">
        <f>(W22-T22)-SUM(X12:X21)</f>
        <v>1733081.1990883201</v>
      </c>
    </row>
    <row r="23" spans="1:26" ht="14.5" x14ac:dyDescent="0.35">
      <c r="A23" s="1">
        <v>12</v>
      </c>
      <c r="B23" s="3">
        <v>10143912.505192818</v>
      </c>
      <c r="C23" s="3">
        <v>2615374.7762873294</v>
      </c>
      <c r="E23" s="1">
        <v>12</v>
      </c>
      <c r="F23" s="3">
        <f t="shared" si="15"/>
        <v>320745821.89248061</v>
      </c>
      <c r="G23" s="3">
        <f t="shared" si="1"/>
        <v>133644.09245520027</v>
      </c>
      <c r="H23" s="3">
        <f t="shared" si="3"/>
        <v>133644.09245520027</v>
      </c>
      <c r="I23" s="3">
        <v>0</v>
      </c>
      <c r="J23" s="3">
        <f t="shared" si="4"/>
        <v>2481730.683832129</v>
      </c>
      <c r="K23" s="3">
        <f t="shared" si="2"/>
        <v>801864.5547312015</v>
      </c>
      <c r="L23" s="3">
        <f t="shared" si="5"/>
        <v>2481730.683832129</v>
      </c>
      <c r="M23" s="3">
        <f t="shared" si="6"/>
        <v>801864.5547312015</v>
      </c>
      <c r="N23" s="3">
        <f t="shared" si="7"/>
        <v>0</v>
      </c>
      <c r="O23" s="3">
        <f t="shared" si="8"/>
        <v>1679866.1291009276</v>
      </c>
      <c r="P23" s="3">
        <f t="shared" si="9"/>
        <v>10143912.505192818</v>
      </c>
      <c r="Q23" s="3">
        <f t="shared" si="10"/>
        <v>10143912.505192818</v>
      </c>
      <c r="R23" s="3">
        <f t="shared" si="11"/>
        <v>310601909.3872878</v>
      </c>
      <c r="S23" s="3">
        <f t="shared" si="16"/>
        <v>22950792.817374546</v>
      </c>
      <c r="T23" s="3">
        <v>10000000</v>
      </c>
      <c r="U23" s="3">
        <f t="shared" si="12"/>
        <v>1679866.1291009276</v>
      </c>
      <c r="V23" s="3">
        <f t="shared" si="13"/>
        <v>1679866.1291009276</v>
      </c>
      <c r="W23" s="3">
        <f t="shared" si="14"/>
        <v>24630658.946475472</v>
      </c>
      <c r="X23" s="3">
        <f>(W23-T23)-SUM(X12:X22)</f>
        <v>1679866.1291009262</v>
      </c>
    </row>
    <row r="24" spans="1:26" ht="14.5" x14ac:dyDescent="0.35">
      <c r="A24" s="1">
        <v>13</v>
      </c>
      <c r="B24" s="3">
        <v>10147067.653684454</v>
      </c>
      <c r="C24" s="3">
        <v>2532537.5284529938</v>
      </c>
      <c r="E24" s="1">
        <v>13</v>
      </c>
      <c r="F24" s="3">
        <f t="shared" si="15"/>
        <v>310601909.3872878</v>
      </c>
      <c r="G24" s="3">
        <f t="shared" si="1"/>
        <v>129417.46224470326</v>
      </c>
      <c r="H24" s="3">
        <f t="shared" si="3"/>
        <v>129417.46224470326</v>
      </c>
      <c r="I24" s="3">
        <v>0</v>
      </c>
      <c r="J24" s="3">
        <f t="shared" si="4"/>
        <v>2403120.0662082904</v>
      </c>
      <c r="K24" s="3">
        <f t="shared" si="2"/>
        <v>776504.77346821956</v>
      </c>
      <c r="L24" s="3">
        <f t="shared" si="5"/>
        <v>2403120.0662082904</v>
      </c>
      <c r="M24" s="3">
        <f t="shared" si="6"/>
        <v>776504.77346821956</v>
      </c>
      <c r="N24" s="3">
        <f t="shared" si="7"/>
        <v>0</v>
      </c>
      <c r="O24" s="3">
        <f t="shared" si="8"/>
        <v>1626615.2927400707</v>
      </c>
      <c r="P24" s="3">
        <f t="shared" si="9"/>
        <v>10147067.653684454</v>
      </c>
      <c r="Q24" s="3">
        <f t="shared" si="10"/>
        <v>10147067.653684454</v>
      </c>
      <c r="R24" s="3">
        <f t="shared" si="11"/>
        <v>300454841.73360336</v>
      </c>
      <c r="S24" s="3">
        <f t="shared" si="16"/>
        <v>24630658.946475472</v>
      </c>
      <c r="T24" s="3">
        <v>10000000</v>
      </c>
      <c r="U24" s="3">
        <f t="shared" si="12"/>
        <v>1626615.2927400707</v>
      </c>
      <c r="V24" s="3">
        <f t="shared" si="13"/>
        <v>1626615.2927400707</v>
      </c>
      <c r="W24" s="3">
        <f t="shared" si="14"/>
        <v>26257274.239215542</v>
      </c>
      <c r="X24" s="3">
        <f>(W24-T24)-SUM(X12:X23)</f>
        <v>1626615.2927400693</v>
      </c>
    </row>
    <row r="25" spans="1:26" ht="14.5" x14ac:dyDescent="0.35">
      <c r="A25" s="1">
        <v>14</v>
      </c>
      <c r="B25" s="3">
        <v>10144706.997950362</v>
      </c>
      <c r="C25" s="3">
        <v>2449665.3246066673</v>
      </c>
      <c r="E25" s="1">
        <v>14</v>
      </c>
      <c r="F25" s="3">
        <f t="shared" si="15"/>
        <v>300454841.73360336</v>
      </c>
      <c r="G25" s="3">
        <f t="shared" si="1"/>
        <v>125189.51738900141</v>
      </c>
      <c r="H25" s="3">
        <f t="shared" si="3"/>
        <v>125189.51738900141</v>
      </c>
      <c r="I25" s="3">
        <v>0</v>
      </c>
      <c r="J25" s="3">
        <f t="shared" si="4"/>
        <v>2324475.8072176659</v>
      </c>
      <c r="K25" s="3">
        <f t="shared" si="2"/>
        <v>751137.10433400841</v>
      </c>
      <c r="L25" s="3">
        <f t="shared" si="5"/>
        <v>2324475.8072176659</v>
      </c>
      <c r="M25" s="3">
        <f t="shared" si="6"/>
        <v>751137.10433400841</v>
      </c>
      <c r="N25" s="3">
        <f t="shared" si="7"/>
        <v>0</v>
      </c>
      <c r="O25" s="3">
        <f t="shared" si="8"/>
        <v>1573338.7028836575</v>
      </c>
      <c r="P25" s="3">
        <f t="shared" si="9"/>
        <v>10144706.997950362</v>
      </c>
      <c r="Q25" s="3">
        <f t="shared" si="10"/>
        <v>10144706.997950362</v>
      </c>
      <c r="R25" s="3">
        <f t="shared" si="11"/>
        <v>290310134.73565298</v>
      </c>
      <c r="S25" s="3">
        <f t="shared" si="16"/>
        <v>26257274.239215542</v>
      </c>
      <c r="T25" s="3">
        <v>10000000</v>
      </c>
      <c r="U25" s="3">
        <f t="shared" si="12"/>
        <v>1573338.7028836575</v>
      </c>
      <c r="V25" s="3">
        <f t="shared" si="13"/>
        <v>1573338.7028836575</v>
      </c>
      <c r="W25" s="3">
        <f t="shared" si="14"/>
        <v>27830612.942099199</v>
      </c>
      <c r="X25" s="3">
        <f>(W25-T25)-SUM(X12:X24)</f>
        <v>1573338.7028836571</v>
      </c>
    </row>
    <row r="26" spans="1:26" ht="14.5" x14ac:dyDescent="0.35">
      <c r="A26" s="1">
        <v>15</v>
      </c>
      <c r="B26" s="3">
        <v>10141116.090798525</v>
      </c>
      <c r="C26" s="3">
        <v>2366798.7972836052</v>
      </c>
      <c r="E26" s="1">
        <v>15</v>
      </c>
      <c r="F26" s="3">
        <f t="shared" si="15"/>
        <v>290310134.73565298</v>
      </c>
      <c r="G26" s="3">
        <f t="shared" si="1"/>
        <v>120962.55613985541</v>
      </c>
      <c r="H26" s="3">
        <f t="shared" si="3"/>
        <v>120962.55613985541</v>
      </c>
      <c r="I26" s="3">
        <v>0</v>
      </c>
      <c r="J26" s="3">
        <f t="shared" si="4"/>
        <v>2245836.24114375</v>
      </c>
      <c r="K26" s="3">
        <f t="shared" si="2"/>
        <v>725775.33683913248</v>
      </c>
      <c r="L26" s="3">
        <f t="shared" si="5"/>
        <v>2245836.24114375</v>
      </c>
      <c r="M26" s="3">
        <f t="shared" si="6"/>
        <v>725775.33683913248</v>
      </c>
      <c r="N26" s="3">
        <f t="shared" si="7"/>
        <v>0</v>
      </c>
      <c r="O26" s="3">
        <f t="shared" si="8"/>
        <v>1520060.9043046176</v>
      </c>
      <c r="P26" s="3">
        <f t="shared" si="9"/>
        <v>10141116.090798525</v>
      </c>
      <c r="Q26" s="3">
        <f t="shared" si="10"/>
        <v>10141116.090798525</v>
      </c>
      <c r="R26" s="3">
        <f t="shared" si="11"/>
        <v>280169018.64485449</v>
      </c>
      <c r="S26" s="3">
        <f t="shared" si="16"/>
        <v>27830612.942099199</v>
      </c>
      <c r="T26" s="3">
        <v>10000000</v>
      </c>
      <c r="U26" s="3">
        <f t="shared" si="12"/>
        <v>1520060.9043046176</v>
      </c>
      <c r="V26" s="3">
        <f t="shared" si="13"/>
        <v>1520060.9043046176</v>
      </c>
      <c r="W26" s="3">
        <f t="shared" si="14"/>
        <v>29350673.846403815</v>
      </c>
      <c r="X26" s="3">
        <f>(W26-T26)-SUM(X16:X25)</f>
        <v>1520060.9043046162</v>
      </c>
    </row>
    <row r="27" spans="1:26" ht="14.5" x14ac:dyDescent="0.35">
      <c r="A27" s="1">
        <v>16</v>
      </c>
      <c r="B27" s="3">
        <v>10128904.42618243</v>
      </c>
      <c r="C27" s="3">
        <v>2283966.2788879192</v>
      </c>
      <c r="E27" s="1">
        <v>16</v>
      </c>
      <c r="F27" s="3">
        <f t="shared" si="15"/>
        <v>280169018.64485449</v>
      </c>
      <c r="G27" s="3">
        <f t="shared" si="1"/>
        <v>116737.09110202271</v>
      </c>
      <c r="H27" s="3">
        <f t="shared" si="3"/>
        <v>116737.09110202271</v>
      </c>
      <c r="I27" s="3">
        <v>0</v>
      </c>
      <c r="J27" s="3">
        <f t="shared" si="4"/>
        <v>2167229.1877858965</v>
      </c>
      <c r="K27" s="3">
        <f t="shared" si="2"/>
        <v>700422.54661213618</v>
      </c>
      <c r="L27" s="3">
        <f t="shared" si="5"/>
        <v>2167229.1877858965</v>
      </c>
      <c r="M27" s="3">
        <f t="shared" si="6"/>
        <v>700422.54661213618</v>
      </c>
      <c r="N27" s="3">
        <f t="shared" si="7"/>
        <v>0</v>
      </c>
      <c r="O27" s="3">
        <f t="shared" si="8"/>
        <v>1466806.6411737604</v>
      </c>
      <c r="P27" s="3">
        <f t="shared" si="9"/>
        <v>10128904.42618243</v>
      </c>
      <c r="Q27" s="3">
        <f t="shared" si="10"/>
        <v>10128904.42618243</v>
      </c>
      <c r="R27" s="3">
        <f t="shared" si="11"/>
        <v>270040114.21867204</v>
      </c>
      <c r="S27" s="3">
        <f t="shared" si="16"/>
        <v>29350673.846403815</v>
      </c>
      <c r="T27" s="3">
        <v>10000000</v>
      </c>
      <c r="U27" s="3">
        <f t="shared" si="12"/>
        <v>1466806.6411737604</v>
      </c>
      <c r="V27" s="3">
        <f t="shared" si="13"/>
        <v>1466806.6411737604</v>
      </c>
      <c r="W27" s="3">
        <f t="shared" si="14"/>
        <v>30817480.487577576</v>
      </c>
      <c r="X27" s="3">
        <f>(W27-T27)-SUM(X16:X26)</f>
        <v>1466806.6411737613</v>
      </c>
    </row>
    <row r="28" spans="1:26" ht="14.5" x14ac:dyDescent="0.35">
      <c r="A28" s="1">
        <v>17</v>
      </c>
      <c r="B28" s="3">
        <v>10078389.447148249</v>
      </c>
      <c r="C28" s="3">
        <v>2201217.170517182</v>
      </c>
      <c r="E28" s="1">
        <v>17</v>
      </c>
      <c r="F28" s="3">
        <f t="shared" si="15"/>
        <v>270040114.21867204</v>
      </c>
      <c r="G28" s="3">
        <f t="shared" si="1"/>
        <v>112516.71425778003</v>
      </c>
      <c r="H28" s="3">
        <f t="shared" si="3"/>
        <v>112516.71425778003</v>
      </c>
      <c r="I28" s="3">
        <v>0</v>
      </c>
      <c r="J28" s="3">
        <f t="shared" si="4"/>
        <v>2088700.456259402</v>
      </c>
      <c r="K28" s="3">
        <f t="shared" si="2"/>
        <v>675100.2855466801</v>
      </c>
      <c r="L28" s="3">
        <f t="shared" si="5"/>
        <v>2088700.456259402</v>
      </c>
      <c r="M28" s="3">
        <f t="shared" si="6"/>
        <v>675100.2855466801</v>
      </c>
      <c r="N28" s="3">
        <f t="shared" si="7"/>
        <v>0</v>
      </c>
      <c r="O28" s="3">
        <f t="shared" si="8"/>
        <v>1413600.170712722</v>
      </c>
      <c r="P28" s="3">
        <f t="shared" si="9"/>
        <v>10078389.447148249</v>
      </c>
      <c r="Q28" s="3">
        <f t="shared" si="10"/>
        <v>10078389.447148249</v>
      </c>
      <c r="R28" s="3">
        <f t="shared" si="11"/>
        <v>259961724.77152377</v>
      </c>
      <c r="S28" s="3">
        <f t="shared" si="16"/>
        <v>30817480.487577576</v>
      </c>
      <c r="T28" s="3">
        <v>10000000</v>
      </c>
      <c r="U28" s="3">
        <f t="shared" si="12"/>
        <v>1413600.170712722</v>
      </c>
      <c r="V28" s="3">
        <f t="shared" si="13"/>
        <v>1413600.170712722</v>
      </c>
      <c r="W28" s="3">
        <f t="shared" si="14"/>
        <v>32231080.658290297</v>
      </c>
      <c r="X28" s="3">
        <f>(W28-T28)-SUM(X16:X27)</f>
        <v>1413600.1707127206</v>
      </c>
    </row>
    <row r="29" spans="1:26" ht="14.5" x14ac:dyDescent="0.35">
      <c r="A29" s="1">
        <v>18</v>
      </c>
      <c r="B29" s="3">
        <v>9996456.6877981704</v>
      </c>
      <c r="C29" s="3">
        <v>2118848.5602015969</v>
      </c>
      <c r="E29" s="1">
        <v>18</v>
      </c>
      <c r="F29" s="3">
        <f t="shared" si="15"/>
        <v>259961724.77152377</v>
      </c>
      <c r="G29" s="3">
        <f t="shared" si="1"/>
        <v>108317.38532146825</v>
      </c>
      <c r="H29" s="3">
        <f t="shared" si="3"/>
        <v>108317.38532146825</v>
      </c>
      <c r="I29" s="3">
        <v>0</v>
      </c>
      <c r="J29" s="3">
        <f t="shared" si="4"/>
        <v>2010531.1748801286</v>
      </c>
      <c r="K29" s="3">
        <f t="shared" si="2"/>
        <v>649904.3119288095</v>
      </c>
      <c r="L29" s="3">
        <f t="shared" si="5"/>
        <v>2010531.1748801286</v>
      </c>
      <c r="M29" s="3">
        <f t="shared" si="6"/>
        <v>649904.3119288095</v>
      </c>
      <c r="N29" s="3">
        <f t="shared" si="7"/>
        <v>0</v>
      </c>
      <c r="O29" s="3">
        <f t="shared" si="8"/>
        <v>1360626.8629513192</v>
      </c>
      <c r="P29" s="3">
        <f t="shared" si="9"/>
        <v>9996456.6877981704</v>
      </c>
      <c r="Q29" s="3">
        <f t="shared" si="10"/>
        <v>9996456.6877981704</v>
      </c>
      <c r="R29" s="3">
        <f t="shared" si="11"/>
        <v>249965268.0837256</v>
      </c>
      <c r="S29" s="3">
        <f t="shared" si="16"/>
        <v>32231080.658290297</v>
      </c>
      <c r="T29" s="3">
        <v>10000000</v>
      </c>
      <c r="U29" s="3">
        <f t="shared" si="12"/>
        <v>1360626.8629513192</v>
      </c>
      <c r="V29" s="3">
        <f t="shared" si="13"/>
        <v>1360626.8629513192</v>
      </c>
      <c r="W29" s="3">
        <f t="shared" si="14"/>
        <v>33591707.521241613</v>
      </c>
      <c r="X29" s="3">
        <f>(W29-T29)-SUM(X16:X28)</f>
        <v>1360626.8629513159</v>
      </c>
    </row>
    <row r="30" spans="1:26" ht="14.5" x14ac:dyDescent="0.35">
      <c r="A30" s="1">
        <v>19</v>
      </c>
      <c r="B30" s="3">
        <v>9933476.6156950966</v>
      </c>
      <c r="C30" s="3">
        <v>2037103.5611643575</v>
      </c>
      <c r="E30" s="1">
        <v>19</v>
      </c>
      <c r="F30" s="3">
        <f t="shared" si="15"/>
        <v>249965268.0837256</v>
      </c>
      <c r="G30" s="3">
        <f t="shared" si="1"/>
        <v>104152.19503488568</v>
      </c>
      <c r="H30" s="3">
        <f t="shared" si="3"/>
        <v>104152.19503488568</v>
      </c>
      <c r="I30" s="3">
        <v>0</v>
      </c>
      <c r="J30" s="3">
        <f t="shared" si="4"/>
        <v>1932951.3661294717</v>
      </c>
      <c r="K30" s="3">
        <f t="shared" si="2"/>
        <v>624913.17020931398</v>
      </c>
      <c r="L30" s="3">
        <f t="shared" si="5"/>
        <v>1932951.3661294717</v>
      </c>
      <c r="M30" s="3">
        <f t="shared" si="6"/>
        <v>624913.17020931398</v>
      </c>
      <c r="N30" s="3">
        <f t="shared" si="7"/>
        <v>0</v>
      </c>
      <c r="O30" s="3">
        <f t="shared" si="8"/>
        <v>1308038.1959201577</v>
      </c>
      <c r="P30" s="3">
        <f t="shared" si="9"/>
        <v>9933476.6156950966</v>
      </c>
      <c r="Q30" s="3">
        <f t="shared" si="10"/>
        <v>9933476.6156950966</v>
      </c>
      <c r="R30" s="3">
        <f t="shared" si="11"/>
        <v>240031791.46803051</v>
      </c>
      <c r="S30" s="3">
        <f t="shared" si="16"/>
        <v>33591707.521241613</v>
      </c>
      <c r="T30" s="3">
        <v>10000000</v>
      </c>
      <c r="U30" s="3">
        <f t="shared" si="12"/>
        <v>1308038.1959201577</v>
      </c>
      <c r="V30" s="3">
        <f t="shared" si="13"/>
        <v>1308038.1959201577</v>
      </c>
      <c r="W30" s="3">
        <f t="shared" si="14"/>
        <v>34899745.717161767</v>
      </c>
      <c r="X30" s="3">
        <f>(W30-T30)-SUM(X16:X29)</f>
        <v>1308038.1959201545</v>
      </c>
    </row>
    <row r="31" spans="1:26" ht="14.5" x14ac:dyDescent="0.35">
      <c r="A31" s="1">
        <v>20</v>
      </c>
      <c r="B31" s="3">
        <v>9874685.1296449248</v>
      </c>
      <c r="C31" s="3">
        <v>1955844.5189782178</v>
      </c>
      <c r="E31" s="1">
        <v>20</v>
      </c>
      <c r="F31" s="3">
        <f t="shared" si="15"/>
        <v>240031791.46803051</v>
      </c>
      <c r="G31" s="3">
        <f t="shared" si="1"/>
        <v>100013.24644501272</v>
      </c>
      <c r="H31" s="3">
        <f t="shared" si="3"/>
        <v>100013.24644501272</v>
      </c>
      <c r="I31" s="3">
        <v>0</v>
      </c>
      <c r="J31" s="3">
        <f t="shared" si="4"/>
        <v>1855831.2725332051</v>
      </c>
      <c r="K31" s="3">
        <f t="shared" si="2"/>
        <v>600079.47867007635</v>
      </c>
      <c r="L31" s="3">
        <f t="shared" si="5"/>
        <v>1855831.2725332051</v>
      </c>
      <c r="M31" s="3">
        <f t="shared" si="6"/>
        <v>600079.47867007635</v>
      </c>
      <c r="N31" s="3">
        <f t="shared" si="7"/>
        <v>0</v>
      </c>
      <c r="O31" s="3">
        <f t="shared" si="8"/>
        <v>1255751.7938631289</v>
      </c>
      <c r="P31" s="3">
        <f t="shared" si="9"/>
        <v>9874685.1296449248</v>
      </c>
      <c r="Q31" s="3">
        <f t="shared" si="10"/>
        <v>9874685.1296449248</v>
      </c>
      <c r="R31" s="3">
        <f t="shared" si="11"/>
        <v>230157106.33838558</v>
      </c>
      <c r="S31" s="3">
        <f t="shared" si="16"/>
        <v>34899745.717161767</v>
      </c>
      <c r="T31" s="3">
        <v>10000000</v>
      </c>
      <c r="U31" s="3">
        <f t="shared" si="12"/>
        <v>1255751.7938631289</v>
      </c>
      <c r="V31" s="3">
        <f t="shared" si="13"/>
        <v>1255751.7938631289</v>
      </c>
      <c r="W31" s="3">
        <f t="shared" si="14"/>
        <v>36155497.511024892</v>
      </c>
      <c r="X31" s="3">
        <f>(W31-T31)-SUM(X16:X30)</f>
        <v>1255751.7938631251</v>
      </c>
    </row>
    <row r="32" spans="1:26" ht="14.5" x14ac:dyDescent="0.35">
      <c r="A32" s="1">
        <v>21</v>
      </c>
      <c r="B32" s="3">
        <v>9828444.6463909168</v>
      </c>
      <c r="C32" s="3">
        <v>1875044.6724034618</v>
      </c>
      <c r="E32" s="1">
        <v>21</v>
      </c>
      <c r="F32" s="3">
        <f t="shared" si="15"/>
        <v>230157106.33838558</v>
      </c>
      <c r="G32" s="3">
        <f t="shared" si="1"/>
        <v>95898.794307660661</v>
      </c>
      <c r="H32" s="3">
        <f t="shared" si="3"/>
        <v>95898.794307660661</v>
      </c>
      <c r="I32" s="3">
        <v>0</v>
      </c>
      <c r="J32" s="3">
        <f t="shared" si="4"/>
        <v>1779145.878095801</v>
      </c>
      <c r="K32" s="3">
        <f t="shared" si="2"/>
        <v>575392.76584596396</v>
      </c>
      <c r="L32" s="3">
        <f t="shared" si="5"/>
        <v>1779145.878095801</v>
      </c>
      <c r="M32" s="3">
        <f t="shared" si="6"/>
        <v>575392.76584596396</v>
      </c>
      <c r="N32" s="3">
        <f t="shared" si="7"/>
        <v>0</v>
      </c>
      <c r="O32" s="3">
        <f t="shared" si="8"/>
        <v>1203753.112249837</v>
      </c>
      <c r="P32" s="3">
        <f t="shared" si="9"/>
        <v>9828444.6463909168</v>
      </c>
      <c r="Q32" s="3">
        <f t="shared" si="10"/>
        <v>9828444.6463909168</v>
      </c>
      <c r="R32" s="3">
        <f t="shared" si="11"/>
        <v>220328661.69199467</v>
      </c>
      <c r="S32" s="3">
        <f t="shared" si="16"/>
        <v>36155497.511024892</v>
      </c>
      <c r="T32" s="3">
        <v>10000000</v>
      </c>
      <c r="U32" s="3">
        <f t="shared" si="12"/>
        <v>1203753.112249837</v>
      </c>
      <c r="V32" s="3">
        <f t="shared" si="13"/>
        <v>1203753.112249837</v>
      </c>
      <c r="W32" s="3">
        <f t="shared" si="14"/>
        <v>37359250.623274729</v>
      </c>
      <c r="X32" s="3">
        <f>(W32-T32)-SUM(X16:X31)</f>
        <v>1203753.1122498363</v>
      </c>
    </row>
    <row r="33" spans="1:24" ht="14.5" x14ac:dyDescent="0.35">
      <c r="A33" s="1">
        <v>22</v>
      </c>
      <c r="B33" s="3">
        <v>9779896.3459374197</v>
      </c>
      <c r="C33" s="3">
        <v>1794611.564801859</v>
      </c>
      <c r="E33" s="1">
        <v>22</v>
      </c>
      <c r="F33" s="3">
        <f t="shared" si="15"/>
        <v>220328661.69199467</v>
      </c>
      <c r="G33" s="3">
        <f t="shared" si="1"/>
        <v>91803.609038331124</v>
      </c>
      <c r="H33" s="3">
        <f t="shared" si="3"/>
        <v>91803.609038331124</v>
      </c>
      <c r="I33" s="3">
        <v>0</v>
      </c>
      <c r="J33" s="3">
        <f t="shared" si="4"/>
        <v>1702807.9557635279</v>
      </c>
      <c r="K33" s="3">
        <f t="shared" si="2"/>
        <v>550821.65422998671</v>
      </c>
      <c r="L33" s="3">
        <f t="shared" si="5"/>
        <v>1702807.9557635279</v>
      </c>
      <c r="M33" s="3">
        <f t="shared" si="6"/>
        <v>550821.65422998671</v>
      </c>
      <c r="N33" s="3">
        <f t="shared" si="7"/>
        <v>0</v>
      </c>
      <c r="O33" s="3">
        <f t="shared" si="8"/>
        <v>1151986.3015335412</v>
      </c>
      <c r="P33" s="3">
        <f t="shared" si="9"/>
        <v>9779896.3459374197</v>
      </c>
      <c r="Q33" s="3">
        <f t="shared" si="10"/>
        <v>9779896.3459374197</v>
      </c>
      <c r="R33" s="3">
        <f t="shared" si="11"/>
        <v>210548765.34605724</v>
      </c>
      <c r="S33" s="3">
        <f t="shared" si="16"/>
        <v>37359250.623274729</v>
      </c>
      <c r="T33" s="3">
        <v>10000000</v>
      </c>
      <c r="U33" s="3">
        <f t="shared" si="12"/>
        <v>1151986.3015335412</v>
      </c>
      <c r="V33" s="3">
        <f t="shared" si="13"/>
        <v>1151986.3015335412</v>
      </c>
      <c r="W33" s="3">
        <f t="shared" si="14"/>
        <v>38511236.924808271</v>
      </c>
      <c r="X33" s="3">
        <f>(W33-T33)-SUM(X16:X32)</f>
        <v>1151986.3015335426</v>
      </c>
    </row>
    <row r="34" spans="1:24" ht="14.5" x14ac:dyDescent="0.35">
      <c r="A34" s="1">
        <v>23</v>
      </c>
      <c r="B34" s="3">
        <v>9735402.9939678367</v>
      </c>
      <c r="C34" s="3">
        <v>1714535.2927819849</v>
      </c>
      <c r="E34" s="1">
        <v>23</v>
      </c>
      <c r="F34" s="3">
        <f t="shared" si="15"/>
        <v>210548765.34605724</v>
      </c>
      <c r="G34" s="3">
        <f t="shared" si="1"/>
        <v>87728.652227523853</v>
      </c>
      <c r="H34" s="3">
        <f t="shared" si="3"/>
        <v>87728.652227523853</v>
      </c>
      <c r="I34" s="3">
        <v>0</v>
      </c>
      <c r="J34" s="3">
        <f t="shared" si="4"/>
        <v>1626806.6405544612</v>
      </c>
      <c r="K34" s="3">
        <f t="shared" si="2"/>
        <v>526371.91336514312</v>
      </c>
      <c r="L34" s="3">
        <f t="shared" si="5"/>
        <v>1626806.6405544612</v>
      </c>
      <c r="M34" s="3">
        <f t="shared" si="6"/>
        <v>526371.91336514312</v>
      </c>
      <c r="N34" s="3">
        <f t="shared" si="7"/>
        <v>0</v>
      </c>
      <c r="O34" s="3">
        <f t="shared" si="8"/>
        <v>1100434.727189318</v>
      </c>
      <c r="P34" s="3">
        <f t="shared" si="9"/>
        <v>9735402.9939678367</v>
      </c>
      <c r="Q34" s="3">
        <f t="shared" si="10"/>
        <v>9735402.9939678367</v>
      </c>
      <c r="R34" s="3">
        <f t="shared" si="11"/>
        <v>200813362.35208941</v>
      </c>
      <c r="S34" s="3">
        <f t="shared" si="16"/>
        <v>38511236.924808271</v>
      </c>
      <c r="T34" s="3">
        <v>10000000</v>
      </c>
      <c r="U34" s="3">
        <f t="shared" si="12"/>
        <v>1100434.727189318</v>
      </c>
      <c r="V34" s="3">
        <f t="shared" si="13"/>
        <v>1100434.727189318</v>
      </c>
      <c r="W34" s="3">
        <f t="shared" si="14"/>
        <v>39611671.651997589</v>
      </c>
      <c r="X34" s="3">
        <f>(W34-T34)-SUM(X16:X33)</f>
        <v>1100434.7271893173</v>
      </c>
    </row>
    <row r="35" spans="1:24" ht="14.5" x14ac:dyDescent="0.35">
      <c r="A35" s="1">
        <v>24</v>
      </c>
      <c r="B35" s="3">
        <v>9650680.098254418</v>
      </c>
      <c r="C35" s="3">
        <v>1634816.6536003342</v>
      </c>
      <c r="E35" s="1">
        <v>24</v>
      </c>
      <c r="F35" s="3">
        <f t="shared" si="15"/>
        <v>200813362.35208941</v>
      </c>
      <c r="G35" s="3">
        <f t="shared" si="1"/>
        <v>83672.234313370587</v>
      </c>
      <c r="H35" s="3">
        <f t="shared" si="3"/>
        <v>83672.234313370587</v>
      </c>
      <c r="I35" s="3">
        <v>0</v>
      </c>
      <c r="J35" s="3">
        <f t="shared" si="4"/>
        <v>1551144.4192869635</v>
      </c>
      <c r="K35" s="3">
        <f t="shared" si="2"/>
        <v>502033.40588022349</v>
      </c>
      <c r="L35" s="3">
        <f t="shared" si="5"/>
        <v>1551144.4192869635</v>
      </c>
      <c r="M35" s="3">
        <f t="shared" si="6"/>
        <v>502033.40588022349</v>
      </c>
      <c r="N35" s="3">
        <f t="shared" si="7"/>
        <v>0</v>
      </c>
      <c r="O35" s="3">
        <f t="shared" si="8"/>
        <v>1049111.01340674</v>
      </c>
      <c r="P35" s="3">
        <f t="shared" si="9"/>
        <v>9650680.098254418</v>
      </c>
      <c r="Q35" s="3">
        <f t="shared" si="10"/>
        <v>9650680.098254418</v>
      </c>
      <c r="R35" s="3">
        <f t="shared" si="11"/>
        <v>191162682.25383499</v>
      </c>
      <c r="S35" s="3">
        <f t="shared" si="16"/>
        <v>39611671.651997589</v>
      </c>
      <c r="T35" s="3">
        <v>10000000</v>
      </c>
      <c r="U35" s="3">
        <f t="shared" si="12"/>
        <v>1049111.01340674</v>
      </c>
      <c r="V35" s="3">
        <f t="shared" si="13"/>
        <v>1049111.01340674</v>
      </c>
      <c r="W35" s="3">
        <f t="shared" si="14"/>
        <v>40660782.665404327</v>
      </c>
      <c r="X35" s="3">
        <f>(W35-T35)-SUM(X16:X34)</f>
        <v>1049111.0134067386</v>
      </c>
    </row>
    <row r="36" spans="1:24" ht="14.5" x14ac:dyDescent="0.35">
      <c r="A36" s="1">
        <v>25</v>
      </c>
      <c r="B36" s="3">
        <v>9549086.5853083767</v>
      </c>
      <c r="C36" s="3">
        <v>1555781.3209947022</v>
      </c>
      <c r="E36" s="1">
        <v>25</v>
      </c>
      <c r="F36" s="3">
        <f t="shared" si="15"/>
        <v>191162682.25383499</v>
      </c>
      <c r="G36" s="3">
        <f t="shared" si="1"/>
        <v>79651.117605764579</v>
      </c>
      <c r="H36" s="3">
        <f t="shared" si="3"/>
        <v>79651.117605764579</v>
      </c>
      <c r="I36" s="3">
        <v>0</v>
      </c>
      <c r="J36" s="3">
        <f t="shared" si="4"/>
        <v>1476130.2033889375</v>
      </c>
      <c r="K36" s="3">
        <f t="shared" si="2"/>
        <v>477906.7056345875</v>
      </c>
      <c r="L36" s="3">
        <f t="shared" si="5"/>
        <v>1476130.2033889375</v>
      </c>
      <c r="M36" s="3">
        <f t="shared" si="6"/>
        <v>477906.7056345875</v>
      </c>
      <c r="N36" s="3">
        <f t="shared" si="7"/>
        <v>0</v>
      </c>
      <c r="O36" s="3">
        <f t="shared" si="8"/>
        <v>998223.49775435007</v>
      </c>
      <c r="P36" s="3">
        <f t="shared" si="9"/>
        <v>9549086.5853083767</v>
      </c>
      <c r="Q36" s="3">
        <f t="shared" si="10"/>
        <v>9549086.5853083767</v>
      </c>
      <c r="R36" s="3">
        <f t="shared" si="11"/>
        <v>181613595.66852662</v>
      </c>
      <c r="S36" s="3">
        <f t="shared" si="16"/>
        <v>40660782.665404327</v>
      </c>
      <c r="T36" s="3">
        <v>10000000</v>
      </c>
      <c r="U36" s="3">
        <f t="shared" si="12"/>
        <v>998223.49775435007</v>
      </c>
      <c r="V36" s="3">
        <f t="shared" si="13"/>
        <v>998223.49775435007</v>
      </c>
      <c r="W36" s="3">
        <f t="shared" si="14"/>
        <v>41659006.163158678</v>
      </c>
      <c r="X36" s="3">
        <f>(W36-T36)-SUM(X16:X35)</f>
        <v>998223.4977543503</v>
      </c>
    </row>
    <row r="37" spans="1:24" ht="14.5" x14ac:dyDescent="0.35">
      <c r="A37" s="1">
        <v>26</v>
      </c>
      <c r="B37" s="3">
        <v>9428619.5541483909</v>
      </c>
      <c r="C37" s="3">
        <v>1477578.3621131987</v>
      </c>
      <c r="E37" s="1">
        <v>26</v>
      </c>
      <c r="F37" s="3">
        <f t="shared" si="15"/>
        <v>181613595.66852662</v>
      </c>
      <c r="G37" s="3">
        <f t="shared" si="1"/>
        <v>75672.331528552764</v>
      </c>
      <c r="H37" s="3">
        <f t="shared" si="3"/>
        <v>75672.331528552764</v>
      </c>
      <c r="I37" s="3">
        <v>0</v>
      </c>
      <c r="J37" s="3">
        <f t="shared" si="4"/>
        <v>1401906.0305846459</v>
      </c>
      <c r="K37" s="3">
        <f t="shared" si="2"/>
        <v>454033.98917131656</v>
      </c>
      <c r="L37" s="3">
        <f t="shared" si="5"/>
        <v>1401906.0305846459</v>
      </c>
      <c r="M37" s="3">
        <f t="shared" si="6"/>
        <v>454033.98917131656</v>
      </c>
      <c r="N37" s="3">
        <f t="shared" si="7"/>
        <v>0</v>
      </c>
      <c r="O37" s="3">
        <f t="shared" si="8"/>
        <v>947872.04141332931</v>
      </c>
      <c r="P37" s="3">
        <f t="shared" si="9"/>
        <v>9428619.5541483909</v>
      </c>
      <c r="Q37" s="3">
        <f t="shared" si="10"/>
        <v>9428619.5541483909</v>
      </c>
      <c r="R37" s="3">
        <f t="shared" si="11"/>
        <v>172184976.11437821</v>
      </c>
      <c r="S37" s="3">
        <f t="shared" si="16"/>
        <v>41659006.163158678</v>
      </c>
      <c r="T37" s="3">
        <v>10000000</v>
      </c>
      <c r="U37" s="3">
        <f t="shared" si="12"/>
        <v>947872.04141332931</v>
      </c>
      <c r="V37" s="3">
        <f t="shared" si="13"/>
        <v>947872.04141332931</v>
      </c>
      <c r="W37" s="3">
        <f t="shared" si="14"/>
        <v>42606878.204572007</v>
      </c>
      <c r="X37" s="3">
        <f>(W37-T37)-SUM(X16:X36)</f>
        <v>947872.04141332954</v>
      </c>
    </row>
    <row r="38" spans="1:24" ht="14.5" x14ac:dyDescent="0.35">
      <c r="A38" s="1">
        <v>27</v>
      </c>
      <c r="B38" s="3">
        <v>9305271.1632002816</v>
      </c>
      <c r="C38" s="3">
        <v>1400347.285307223</v>
      </c>
      <c r="E38" s="1">
        <v>27</v>
      </c>
      <c r="F38" s="3">
        <f t="shared" si="15"/>
        <v>172184976.11437821</v>
      </c>
      <c r="G38" s="3">
        <f t="shared" si="1"/>
        <v>71743.7400476576</v>
      </c>
      <c r="H38" s="3">
        <f t="shared" si="3"/>
        <v>71743.7400476576</v>
      </c>
      <c r="I38" s="3">
        <v>0</v>
      </c>
      <c r="J38" s="3">
        <f t="shared" si="4"/>
        <v>1328603.5452595653</v>
      </c>
      <c r="K38" s="3">
        <f t="shared" si="2"/>
        <v>430462.44028594554</v>
      </c>
      <c r="L38" s="3">
        <f t="shared" si="5"/>
        <v>1328603.5452595653</v>
      </c>
      <c r="M38" s="3">
        <f t="shared" si="6"/>
        <v>430462.44028594554</v>
      </c>
      <c r="N38" s="3">
        <f t="shared" si="7"/>
        <v>0</v>
      </c>
      <c r="O38" s="3">
        <f t="shared" si="8"/>
        <v>898141.1049736198</v>
      </c>
      <c r="P38" s="3">
        <f t="shared" si="9"/>
        <v>9305271.1632002816</v>
      </c>
      <c r="Q38" s="3">
        <f t="shared" si="10"/>
        <v>9305271.1632002816</v>
      </c>
      <c r="R38" s="3">
        <f t="shared" si="11"/>
        <v>162879704.95117792</v>
      </c>
      <c r="S38" s="3">
        <f t="shared" si="16"/>
        <v>42606878.204572007</v>
      </c>
      <c r="T38" s="3">
        <v>10000000</v>
      </c>
      <c r="U38" s="3">
        <f t="shared" si="12"/>
        <v>898141.1049736198</v>
      </c>
      <c r="V38" s="3">
        <f t="shared" si="13"/>
        <v>898141.1049736198</v>
      </c>
      <c r="W38" s="3">
        <f t="shared" si="14"/>
        <v>43505019.309545629</v>
      </c>
      <c r="X38" s="3">
        <f>(W38-T38)-SUM(X16:X37)</f>
        <v>898141.10497362167</v>
      </c>
    </row>
    <row r="39" spans="1:24" ht="14.5" x14ac:dyDescent="0.35">
      <c r="A39" s="1">
        <v>28</v>
      </c>
      <c r="B39" s="3">
        <v>9172892.1002772022</v>
      </c>
      <c r="C39" s="3">
        <v>1324096.7687445912</v>
      </c>
      <c r="E39" s="1">
        <v>28</v>
      </c>
      <c r="F39" s="3">
        <f t="shared" si="15"/>
        <v>162879704.95117792</v>
      </c>
      <c r="G39" s="3">
        <f t="shared" si="1"/>
        <v>67866.543729657467</v>
      </c>
      <c r="H39" s="3">
        <f t="shared" si="3"/>
        <v>67866.543729657467</v>
      </c>
      <c r="I39" s="3">
        <v>0</v>
      </c>
      <c r="J39" s="3">
        <f t="shared" si="4"/>
        <v>1256230.2250149336</v>
      </c>
      <c r="K39" s="3">
        <f t="shared" si="2"/>
        <v>407199.26237794483</v>
      </c>
      <c r="L39" s="3">
        <f t="shared" si="5"/>
        <v>1256230.2250149336</v>
      </c>
      <c r="M39" s="3">
        <f t="shared" si="6"/>
        <v>407199.26237794483</v>
      </c>
      <c r="N39" s="3">
        <f t="shared" si="7"/>
        <v>0</v>
      </c>
      <c r="O39" s="3">
        <f t="shared" si="8"/>
        <v>849030.96263698884</v>
      </c>
      <c r="P39" s="3">
        <f t="shared" si="9"/>
        <v>9172892.1002772022</v>
      </c>
      <c r="Q39" s="3">
        <f t="shared" si="10"/>
        <v>9172892.1002772022</v>
      </c>
      <c r="R39" s="3">
        <f t="shared" si="11"/>
        <v>153706812.85090071</v>
      </c>
      <c r="S39" s="3">
        <f t="shared" si="16"/>
        <v>43505019.309545629</v>
      </c>
      <c r="T39" s="3">
        <v>10000000</v>
      </c>
      <c r="U39" s="3">
        <f t="shared" si="12"/>
        <v>849030.96263698884</v>
      </c>
      <c r="V39" s="3">
        <f t="shared" si="13"/>
        <v>849030.96263698884</v>
      </c>
      <c r="W39" s="3">
        <f t="shared" si="14"/>
        <v>44354050.272182621</v>
      </c>
      <c r="X39" s="3">
        <f>(W39-T39)-SUM(X16:X38)</f>
        <v>849030.96263699234</v>
      </c>
    </row>
    <row r="40" spans="1:24" ht="14.5" x14ac:dyDescent="0.35">
      <c r="A40" s="1">
        <v>29</v>
      </c>
      <c r="B40" s="3">
        <v>8987584.3224090952</v>
      </c>
      <c r="C40" s="3">
        <v>1248873.7593342818</v>
      </c>
      <c r="E40" s="1">
        <v>29</v>
      </c>
      <c r="F40" s="3">
        <f t="shared" si="15"/>
        <v>153706812.85090071</v>
      </c>
      <c r="G40" s="3">
        <f t="shared" si="1"/>
        <v>64044.505354541965</v>
      </c>
      <c r="H40" s="3">
        <f t="shared" si="3"/>
        <v>64044.505354541965</v>
      </c>
      <c r="I40" s="3">
        <v>0</v>
      </c>
      <c r="J40" s="3">
        <f t="shared" si="4"/>
        <v>1184829.2539797397</v>
      </c>
      <c r="K40" s="3">
        <f t="shared" si="2"/>
        <v>384267.03212725179</v>
      </c>
      <c r="L40" s="3">
        <f t="shared" si="5"/>
        <v>1184829.2539797397</v>
      </c>
      <c r="M40" s="3">
        <f t="shared" si="6"/>
        <v>384267.03212725179</v>
      </c>
      <c r="N40" s="3">
        <f t="shared" si="7"/>
        <v>0</v>
      </c>
      <c r="O40" s="3">
        <f t="shared" si="8"/>
        <v>800562.22185248788</v>
      </c>
      <c r="P40" s="3">
        <f t="shared" si="9"/>
        <v>8987584.3224090952</v>
      </c>
      <c r="Q40" s="3">
        <f t="shared" si="10"/>
        <v>8987584.3224090952</v>
      </c>
      <c r="R40" s="3">
        <f t="shared" si="11"/>
        <v>144719228.52849162</v>
      </c>
      <c r="S40" s="3">
        <f t="shared" si="16"/>
        <v>44354050.272182621</v>
      </c>
      <c r="T40" s="3">
        <v>10000000</v>
      </c>
      <c r="U40" s="3">
        <f t="shared" si="12"/>
        <v>800562.22185248788</v>
      </c>
      <c r="V40" s="3">
        <f t="shared" si="13"/>
        <v>800562.22185248788</v>
      </c>
      <c r="W40" s="3">
        <f t="shared" si="14"/>
        <v>45154612.49403511</v>
      </c>
      <c r="X40" s="3">
        <f>(W40-T40)-SUM(X16:X39)</f>
        <v>800562.22185248882</v>
      </c>
    </row>
    <row r="41" spans="1:24" ht="14.5" x14ac:dyDescent="0.35">
      <c r="A41" s="1">
        <v>30</v>
      </c>
      <c r="B41" s="3">
        <v>8733376.5716665126</v>
      </c>
      <c r="C41" s="3">
        <v>1175134.2474486055</v>
      </c>
      <c r="E41" s="1">
        <v>30</v>
      </c>
      <c r="F41" s="3">
        <f t="shared" si="15"/>
        <v>144719228.52849162</v>
      </c>
      <c r="G41" s="3">
        <f t="shared" si="1"/>
        <v>60299.678553538179</v>
      </c>
      <c r="H41" s="3">
        <f t="shared" si="3"/>
        <v>60299.678553538179</v>
      </c>
      <c r="I41" s="3">
        <v>0</v>
      </c>
      <c r="J41" s="3">
        <f t="shared" si="4"/>
        <v>1114834.5688950673</v>
      </c>
      <c r="K41" s="3">
        <f t="shared" si="2"/>
        <v>361798.07132122904</v>
      </c>
      <c r="L41" s="3">
        <f t="shared" si="5"/>
        <v>1114834.5688950673</v>
      </c>
      <c r="M41" s="3">
        <f t="shared" si="6"/>
        <v>361798.07132122904</v>
      </c>
      <c r="N41" s="3">
        <f t="shared" si="7"/>
        <v>0</v>
      </c>
      <c r="O41" s="3">
        <f t="shared" si="8"/>
        <v>753036.49757383834</v>
      </c>
      <c r="P41" s="3">
        <f t="shared" si="9"/>
        <v>8733376.5716665126</v>
      </c>
      <c r="Q41" s="3">
        <f t="shared" si="10"/>
        <v>8733376.5716665126</v>
      </c>
      <c r="R41" s="3">
        <f t="shared" si="11"/>
        <v>135985851.95682511</v>
      </c>
      <c r="S41" s="3">
        <f t="shared" si="16"/>
        <v>45154612.49403511</v>
      </c>
      <c r="T41" s="3">
        <v>10000000</v>
      </c>
      <c r="U41" s="3">
        <f t="shared" si="12"/>
        <v>753036.49757383834</v>
      </c>
      <c r="V41" s="3">
        <f t="shared" si="13"/>
        <v>753036.49757383834</v>
      </c>
      <c r="W41" s="3">
        <f t="shared" si="14"/>
        <v>45907648.991608948</v>
      </c>
      <c r="X41" s="3">
        <f>(W41-T41)-SUM(X16:X40)</f>
        <v>753036.49757383764</v>
      </c>
    </row>
    <row r="42" spans="1:24" ht="14.5" x14ac:dyDescent="0.35">
      <c r="A42" s="1">
        <v>31</v>
      </c>
      <c r="B42" s="3">
        <v>8506979.2766066249</v>
      </c>
      <c r="C42" s="3">
        <v>1103396.4134494816</v>
      </c>
      <c r="E42" s="1">
        <v>31</v>
      </c>
      <c r="F42" s="3">
        <f t="shared" si="15"/>
        <v>135985851.95682511</v>
      </c>
      <c r="G42" s="3">
        <f t="shared" si="1"/>
        <v>56660.771648677131</v>
      </c>
      <c r="H42" s="3">
        <f t="shared" si="3"/>
        <v>56660.771648677131</v>
      </c>
      <c r="I42" s="3">
        <v>0</v>
      </c>
      <c r="J42" s="3">
        <f t="shared" si="4"/>
        <v>1046735.6418008044</v>
      </c>
      <c r="K42" s="3">
        <f t="shared" si="2"/>
        <v>339964.6298920628</v>
      </c>
      <c r="L42" s="3">
        <f t="shared" si="5"/>
        <v>1046735.6418008044</v>
      </c>
      <c r="M42" s="3">
        <f t="shared" si="6"/>
        <v>339964.6298920628</v>
      </c>
      <c r="N42" s="3">
        <f t="shared" si="7"/>
        <v>0</v>
      </c>
      <c r="O42" s="3">
        <f t="shared" si="8"/>
        <v>706771.01190874167</v>
      </c>
      <c r="P42" s="3">
        <f t="shared" si="9"/>
        <v>8506979.2766066249</v>
      </c>
      <c r="Q42" s="3">
        <f t="shared" si="10"/>
        <v>8506979.2766066249</v>
      </c>
      <c r="R42" s="3">
        <f t="shared" si="11"/>
        <v>127478872.68021849</v>
      </c>
      <c r="S42" s="3">
        <f t="shared" si="16"/>
        <v>45907648.991608948</v>
      </c>
      <c r="T42" s="3">
        <v>10000000</v>
      </c>
      <c r="U42" s="3">
        <f t="shared" si="12"/>
        <v>706771.01190874167</v>
      </c>
      <c r="V42" s="3">
        <f t="shared" si="13"/>
        <v>706771.01190874167</v>
      </c>
      <c r="W42" s="3">
        <f t="shared" si="14"/>
        <v>46614420.003517687</v>
      </c>
      <c r="X42" s="3">
        <f>(W42-T42)-SUM(X16:X41)</f>
        <v>706771.01190873981</v>
      </c>
    </row>
    <row r="43" spans="1:24" ht="14.5" x14ac:dyDescent="0.35">
      <c r="A43" s="1">
        <v>32</v>
      </c>
      <c r="B43" s="3">
        <v>8277576.004905967</v>
      </c>
      <c r="C43" s="3">
        <v>1033496.0038859867</v>
      </c>
      <c r="E43" s="1">
        <v>32</v>
      </c>
      <c r="F43" s="3">
        <f t="shared" si="15"/>
        <v>127478872.68021849</v>
      </c>
      <c r="G43" s="3">
        <f t="shared" si="1"/>
        <v>53116.196950091042</v>
      </c>
      <c r="H43" s="3">
        <f t="shared" si="3"/>
        <v>53116.196950091042</v>
      </c>
      <c r="I43" s="3">
        <v>0</v>
      </c>
      <c r="J43" s="3">
        <f t="shared" si="4"/>
        <v>980379.8069358957</v>
      </c>
      <c r="K43" s="3">
        <f t="shared" si="2"/>
        <v>318697.18170054624</v>
      </c>
      <c r="L43" s="3">
        <f t="shared" si="5"/>
        <v>980379.8069358957</v>
      </c>
      <c r="M43" s="3">
        <f t="shared" si="6"/>
        <v>318697.18170054624</v>
      </c>
      <c r="N43" s="3">
        <f t="shared" si="7"/>
        <v>0</v>
      </c>
      <c r="O43" s="3">
        <f t="shared" si="8"/>
        <v>661682.62523534941</v>
      </c>
      <c r="P43" s="3">
        <f t="shared" si="9"/>
        <v>8277576.004905967</v>
      </c>
      <c r="Q43" s="3">
        <f t="shared" si="10"/>
        <v>8277576.004905967</v>
      </c>
      <c r="R43" s="3">
        <f t="shared" si="11"/>
        <v>119201296.67531252</v>
      </c>
      <c r="S43" s="3">
        <f t="shared" si="16"/>
        <v>46614420.003517687</v>
      </c>
      <c r="T43" s="3">
        <v>10000000</v>
      </c>
      <c r="U43" s="3">
        <f t="shared" si="12"/>
        <v>661682.62523534941</v>
      </c>
      <c r="V43" s="3">
        <f t="shared" si="13"/>
        <v>661682.62523534941</v>
      </c>
      <c r="W43" s="3">
        <f t="shared" si="14"/>
        <v>47276102.628753036</v>
      </c>
      <c r="X43" s="3">
        <f>(W43-T43)-SUM(X16:X42)</f>
        <v>661682.62523534894</v>
      </c>
    </row>
    <row r="44" spans="1:24" ht="14.5" x14ac:dyDescent="0.35">
      <c r="A44" s="1">
        <v>33</v>
      </c>
      <c r="B44" s="3">
        <v>8108167.2967211716</v>
      </c>
      <c r="C44" s="3">
        <v>965497.30246530613</v>
      </c>
      <c r="E44" s="1">
        <v>33</v>
      </c>
      <c r="F44" s="3">
        <f t="shared" si="15"/>
        <v>119201296.67531252</v>
      </c>
      <c r="G44" s="3">
        <f t="shared" ref="G44:G75" si="17">F44*(ServicingFee/12)</f>
        <v>49667.206948046885</v>
      </c>
      <c r="H44" s="3">
        <f t="shared" si="3"/>
        <v>49667.206948046885</v>
      </c>
      <c r="I44" s="3">
        <v>0</v>
      </c>
      <c r="J44" s="3">
        <f t="shared" si="4"/>
        <v>915830.09551725921</v>
      </c>
      <c r="K44" s="3">
        <f t="shared" ref="K44:K75" si="18">F44*(Coupon/12)</f>
        <v>298003.2416882813</v>
      </c>
      <c r="L44" s="3">
        <f t="shared" si="5"/>
        <v>915830.09551725921</v>
      </c>
      <c r="M44" s="3">
        <f t="shared" si="6"/>
        <v>298003.2416882813</v>
      </c>
      <c r="N44" s="3">
        <f t="shared" si="7"/>
        <v>0</v>
      </c>
      <c r="O44" s="3">
        <f t="shared" si="8"/>
        <v>617826.85382897791</v>
      </c>
      <c r="P44" s="3">
        <f t="shared" si="9"/>
        <v>8108167.2967211716</v>
      </c>
      <c r="Q44" s="3">
        <f t="shared" si="10"/>
        <v>8108167.2967211716</v>
      </c>
      <c r="R44" s="3">
        <f t="shared" si="11"/>
        <v>111093129.37859134</v>
      </c>
      <c r="S44" s="3">
        <f t="shared" si="16"/>
        <v>47276102.628753036</v>
      </c>
      <c r="T44" s="3">
        <v>10000000</v>
      </c>
      <c r="U44" s="3">
        <f t="shared" si="12"/>
        <v>617826.85382897791</v>
      </c>
      <c r="V44" s="3">
        <f t="shared" si="13"/>
        <v>617826.85382897791</v>
      </c>
      <c r="W44" s="3">
        <f t="shared" si="14"/>
        <v>47893929.482582018</v>
      </c>
      <c r="X44" s="3">
        <f>(W44-T44)-SUM(X16:X43)</f>
        <v>617826.85382898152</v>
      </c>
    </row>
    <row r="45" spans="1:24" ht="14.5" x14ac:dyDescent="0.35">
      <c r="A45" s="1">
        <v>34</v>
      </c>
      <c r="B45" s="3">
        <v>7958542.0822660364</v>
      </c>
      <c r="C45" s="3">
        <v>898890.9038793752</v>
      </c>
      <c r="E45" s="1">
        <v>34</v>
      </c>
      <c r="F45" s="3">
        <f t="shared" si="15"/>
        <v>111093129.37859134</v>
      </c>
      <c r="G45" s="3">
        <f t="shared" si="17"/>
        <v>46288.803907746398</v>
      </c>
      <c r="H45" s="3">
        <f t="shared" si="3"/>
        <v>46288.803907746398</v>
      </c>
      <c r="I45" s="3">
        <v>0</v>
      </c>
      <c r="J45" s="3">
        <f t="shared" si="4"/>
        <v>852602.09997162875</v>
      </c>
      <c r="K45" s="3">
        <f t="shared" si="18"/>
        <v>277732.82344647835</v>
      </c>
      <c r="L45" s="3">
        <f t="shared" si="5"/>
        <v>852602.09997162875</v>
      </c>
      <c r="M45" s="3">
        <f t="shared" si="6"/>
        <v>277732.82344647835</v>
      </c>
      <c r="N45" s="3">
        <f t="shared" si="7"/>
        <v>0</v>
      </c>
      <c r="O45" s="3">
        <f t="shared" si="8"/>
        <v>574869.2765251504</v>
      </c>
      <c r="P45" s="3">
        <f t="shared" si="9"/>
        <v>7958542.0822660364</v>
      </c>
      <c r="Q45" s="3">
        <f t="shared" si="10"/>
        <v>7958542.0822660364</v>
      </c>
      <c r="R45" s="3">
        <f t="shared" si="11"/>
        <v>103134587.29632531</v>
      </c>
      <c r="S45" s="3">
        <f t="shared" si="16"/>
        <v>47893929.482582018</v>
      </c>
      <c r="T45" s="3">
        <v>10000000</v>
      </c>
      <c r="U45" s="3">
        <f t="shared" si="12"/>
        <v>574869.2765251504</v>
      </c>
      <c r="V45" s="3">
        <f t="shared" si="13"/>
        <v>574869.2765251504</v>
      </c>
      <c r="W45" s="3">
        <f t="shared" si="14"/>
        <v>48468798.759107165</v>
      </c>
      <c r="X45" s="3">
        <f>(W45-T45)-SUM(X16:X44)</f>
        <v>574869.27652514726</v>
      </c>
    </row>
    <row r="46" spans="1:24" ht="14.5" x14ac:dyDescent="0.35">
      <c r="A46" s="1">
        <v>35</v>
      </c>
      <c r="B46" s="3">
        <v>7812082.6179247443</v>
      </c>
      <c r="C46" s="3">
        <v>833558.37022773479</v>
      </c>
      <c r="E46" s="1">
        <v>35</v>
      </c>
      <c r="F46" s="3">
        <f t="shared" si="15"/>
        <v>103134587.29632531</v>
      </c>
      <c r="G46" s="3">
        <f t="shared" si="17"/>
        <v>42972.744706802216</v>
      </c>
      <c r="H46" s="3">
        <f t="shared" si="3"/>
        <v>42972.744706802216</v>
      </c>
      <c r="I46" s="3">
        <v>0</v>
      </c>
      <c r="J46" s="3">
        <f t="shared" si="4"/>
        <v>790585.6255209326</v>
      </c>
      <c r="K46" s="3">
        <f t="shared" si="18"/>
        <v>257836.46824081329</v>
      </c>
      <c r="L46" s="3">
        <f t="shared" si="5"/>
        <v>790585.6255209326</v>
      </c>
      <c r="M46" s="3">
        <f t="shared" si="6"/>
        <v>257836.46824081329</v>
      </c>
      <c r="N46" s="3">
        <f t="shared" si="7"/>
        <v>0</v>
      </c>
      <c r="O46" s="3">
        <f t="shared" si="8"/>
        <v>532749.15728011937</v>
      </c>
      <c r="P46" s="3">
        <f t="shared" si="9"/>
        <v>7812082.6179247443</v>
      </c>
      <c r="Q46" s="3">
        <f t="shared" si="10"/>
        <v>7812082.6179247443</v>
      </c>
      <c r="R46" s="3">
        <f t="shared" si="11"/>
        <v>95322504.678400561</v>
      </c>
      <c r="S46" s="3">
        <f t="shared" si="16"/>
        <v>48468798.759107165</v>
      </c>
      <c r="T46" s="3">
        <v>10000000</v>
      </c>
      <c r="U46" s="3">
        <f t="shared" si="12"/>
        <v>532749.15728011937</v>
      </c>
      <c r="V46" s="3">
        <f t="shared" si="13"/>
        <v>532749.15728011937</v>
      </c>
      <c r="W46" s="3">
        <f t="shared" si="14"/>
        <v>49001547.916387282</v>
      </c>
      <c r="X46" s="3">
        <f>(W46-T46)-SUM(X16:X45)</f>
        <v>532749.15728011727</v>
      </c>
    </row>
    <row r="47" spans="1:24" ht="14.5" x14ac:dyDescent="0.35">
      <c r="A47" s="1">
        <v>36</v>
      </c>
      <c r="B47" s="3">
        <v>7614957.7334936038</v>
      </c>
      <c r="C47" s="3">
        <v>769499.1330558426</v>
      </c>
      <c r="E47" s="1">
        <v>36</v>
      </c>
      <c r="F47" s="3">
        <f t="shared" si="15"/>
        <v>95322504.678400561</v>
      </c>
      <c r="G47" s="3">
        <f t="shared" si="17"/>
        <v>39717.7102826669</v>
      </c>
      <c r="H47" s="3">
        <f t="shared" si="3"/>
        <v>39717.7102826669</v>
      </c>
      <c r="I47" s="3">
        <v>0</v>
      </c>
      <c r="J47" s="3">
        <f t="shared" si="4"/>
        <v>729781.42277317564</v>
      </c>
      <c r="K47" s="3">
        <f t="shared" si="18"/>
        <v>238306.2616960014</v>
      </c>
      <c r="L47" s="3">
        <f t="shared" si="5"/>
        <v>729781.42277317564</v>
      </c>
      <c r="M47" s="3">
        <f t="shared" si="6"/>
        <v>238306.2616960014</v>
      </c>
      <c r="N47" s="3">
        <f t="shared" si="7"/>
        <v>0</v>
      </c>
      <c r="O47" s="3">
        <f t="shared" si="8"/>
        <v>491475.16107717424</v>
      </c>
      <c r="P47" s="3">
        <f t="shared" si="9"/>
        <v>7614957.7334936038</v>
      </c>
      <c r="Q47" s="3">
        <f t="shared" si="10"/>
        <v>7614957.7334936038</v>
      </c>
      <c r="R47" s="3">
        <f t="shared" si="11"/>
        <v>87707546.94490695</v>
      </c>
      <c r="S47" s="3">
        <f t="shared" si="16"/>
        <v>49001547.916387282</v>
      </c>
      <c r="T47" s="3">
        <v>10000000</v>
      </c>
      <c r="U47" s="3">
        <f t="shared" si="12"/>
        <v>491475.16107717424</v>
      </c>
      <c r="V47" s="3">
        <f t="shared" si="13"/>
        <v>491475.16107717424</v>
      </c>
      <c r="W47" s="3">
        <f t="shared" si="14"/>
        <v>49493023.077464454</v>
      </c>
      <c r="X47" s="3">
        <f>(W47-T47)-SUM(X16:X46)</f>
        <v>491475.16107717156</v>
      </c>
    </row>
    <row r="48" spans="1:24" ht="14.5" x14ac:dyDescent="0.35">
      <c r="A48" s="1">
        <v>37</v>
      </c>
      <c r="B48" s="3">
        <v>7380086.5603452772</v>
      </c>
      <c r="C48" s="3">
        <v>707105.65059882205</v>
      </c>
      <c r="E48" s="1">
        <v>37</v>
      </c>
      <c r="F48" s="3">
        <f t="shared" si="15"/>
        <v>87707546.94490695</v>
      </c>
      <c r="G48" s="3">
        <f t="shared" si="17"/>
        <v>36544.811227044564</v>
      </c>
      <c r="H48" s="3">
        <f t="shared" si="3"/>
        <v>36544.811227044564</v>
      </c>
      <c r="I48" s="3">
        <v>0</v>
      </c>
      <c r="J48" s="3">
        <f t="shared" si="4"/>
        <v>670560.83937177749</v>
      </c>
      <c r="K48" s="3">
        <f t="shared" si="18"/>
        <v>219268.86736226737</v>
      </c>
      <c r="L48" s="3">
        <f t="shared" si="5"/>
        <v>670560.83937177749</v>
      </c>
      <c r="M48" s="3">
        <f t="shared" si="6"/>
        <v>219268.86736226737</v>
      </c>
      <c r="N48" s="3">
        <f t="shared" si="7"/>
        <v>0</v>
      </c>
      <c r="O48" s="3">
        <f t="shared" si="8"/>
        <v>451291.97200951015</v>
      </c>
      <c r="P48" s="3">
        <f t="shared" si="9"/>
        <v>7380086.5603452772</v>
      </c>
      <c r="Q48" s="3">
        <f t="shared" si="10"/>
        <v>7380086.5603452772</v>
      </c>
      <c r="R48" s="3">
        <f t="shared" si="11"/>
        <v>80327460.384561673</v>
      </c>
      <c r="S48" s="3">
        <f t="shared" si="16"/>
        <v>49493023.077464454</v>
      </c>
      <c r="T48" s="3">
        <v>10000000</v>
      </c>
      <c r="U48" s="3">
        <f t="shared" si="12"/>
        <v>451291.97200951015</v>
      </c>
      <c r="V48" s="3">
        <f t="shared" si="13"/>
        <v>451291.97200951015</v>
      </c>
      <c r="W48" s="3">
        <f t="shared" si="14"/>
        <v>49944315.049473964</v>
      </c>
      <c r="X48" s="3">
        <f>(W48-T48)-SUM(X16:X47)</f>
        <v>451291.9720095098</v>
      </c>
    </row>
    <row r="49" spans="1:24" ht="14.5" x14ac:dyDescent="0.35">
      <c r="A49" s="1">
        <v>38</v>
      </c>
      <c r="B49" s="3">
        <v>7115211.0632049209</v>
      </c>
      <c r="C49" s="3">
        <v>646699.35040361166</v>
      </c>
      <c r="E49" s="1">
        <v>38</v>
      </c>
      <c r="F49" s="3">
        <f t="shared" si="15"/>
        <v>80327460.384561673</v>
      </c>
      <c r="G49" s="3">
        <f t="shared" si="17"/>
        <v>33469.775160234036</v>
      </c>
      <c r="H49" s="3">
        <f t="shared" si="3"/>
        <v>33469.775160234036</v>
      </c>
      <c r="I49" s="3">
        <v>0</v>
      </c>
      <c r="J49" s="3">
        <f t="shared" si="4"/>
        <v>613229.57524337759</v>
      </c>
      <c r="K49" s="3">
        <f t="shared" si="18"/>
        <v>200818.6509614042</v>
      </c>
      <c r="L49" s="3">
        <f t="shared" si="5"/>
        <v>613229.57524337759</v>
      </c>
      <c r="M49" s="3">
        <f t="shared" si="6"/>
        <v>200818.6509614042</v>
      </c>
      <c r="N49" s="3">
        <f t="shared" si="7"/>
        <v>0</v>
      </c>
      <c r="O49" s="3">
        <f t="shared" si="8"/>
        <v>412410.92428197339</v>
      </c>
      <c r="P49" s="3">
        <f t="shared" si="9"/>
        <v>7115211.0632049209</v>
      </c>
      <c r="Q49" s="3">
        <f t="shared" si="10"/>
        <v>7115211.0632049209</v>
      </c>
      <c r="R49" s="3">
        <f t="shared" si="11"/>
        <v>73212249.321356758</v>
      </c>
      <c r="S49" s="3">
        <f t="shared" si="16"/>
        <v>49944315.049473964</v>
      </c>
      <c r="T49" s="3">
        <v>10000000</v>
      </c>
      <c r="U49" s="3">
        <f t="shared" si="12"/>
        <v>412410.92428197339</v>
      </c>
      <c r="V49" s="3">
        <f t="shared" si="13"/>
        <v>412410.92428197339</v>
      </c>
      <c r="W49" s="3">
        <f t="shared" si="14"/>
        <v>50356725.973755941</v>
      </c>
      <c r="X49" s="3">
        <f>(W49-T49)-SUM(X16:X48)</f>
        <v>412410.92428197712</v>
      </c>
    </row>
    <row r="50" spans="1:24" ht="14.5" x14ac:dyDescent="0.35">
      <c r="A50" s="1">
        <v>39</v>
      </c>
      <c r="B50" s="3">
        <v>6863890.7943603899</v>
      </c>
      <c r="C50" s="3">
        <v>588531.42476423946</v>
      </c>
      <c r="E50" s="1">
        <v>39</v>
      </c>
      <c r="F50" s="3">
        <f t="shared" si="15"/>
        <v>73212249.321356758</v>
      </c>
      <c r="G50" s="3">
        <f t="shared" si="17"/>
        <v>30505.10388389865</v>
      </c>
      <c r="H50" s="3">
        <f t="shared" si="3"/>
        <v>30505.10388389865</v>
      </c>
      <c r="I50" s="3">
        <v>0</v>
      </c>
      <c r="J50" s="3">
        <f t="shared" si="4"/>
        <v>558026.32088034076</v>
      </c>
      <c r="K50" s="3">
        <f t="shared" si="18"/>
        <v>183030.62330339191</v>
      </c>
      <c r="L50" s="3">
        <f t="shared" si="5"/>
        <v>558026.32088034076</v>
      </c>
      <c r="M50" s="3">
        <f t="shared" si="6"/>
        <v>183030.62330339191</v>
      </c>
      <c r="N50" s="3">
        <f t="shared" si="7"/>
        <v>0</v>
      </c>
      <c r="O50" s="3">
        <f t="shared" si="8"/>
        <v>374995.69757694885</v>
      </c>
      <c r="P50" s="3">
        <f t="shared" si="9"/>
        <v>6863890.7943603899</v>
      </c>
      <c r="Q50" s="3">
        <f t="shared" si="10"/>
        <v>6863890.7943603899</v>
      </c>
      <c r="R50" s="3">
        <f t="shared" si="11"/>
        <v>66348358.526996367</v>
      </c>
      <c r="S50" s="3">
        <f t="shared" si="16"/>
        <v>50356725.973755941</v>
      </c>
      <c r="T50" s="3">
        <v>10000000</v>
      </c>
      <c r="U50" s="3">
        <f t="shared" si="12"/>
        <v>374995.69757694885</v>
      </c>
      <c r="V50" s="3">
        <f t="shared" si="13"/>
        <v>374995.69757694885</v>
      </c>
      <c r="W50" s="3">
        <f t="shared" si="14"/>
        <v>50731721.671332888</v>
      </c>
      <c r="X50" s="3">
        <f>(W50-T50)-SUM(X12:X49)</f>
        <v>374995.69757694751</v>
      </c>
    </row>
    <row r="51" spans="1:24" ht="14.5" x14ac:dyDescent="0.35">
      <c r="A51" s="1">
        <v>40</v>
      </c>
      <c r="B51" s="3">
        <v>6618377.9643018944</v>
      </c>
      <c r="C51" s="3">
        <v>532463.41406487382</v>
      </c>
      <c r="E51" s="1">
        <v>40</v>
      </c>
      <c r="F51" s="3">
        <f t="shared" si="15"/>
        <v>66348358.526996367</v>
      </c>
      <c r="G51" s="3">
        <f t="shared" si="17"/>
        <v>27645.149386248489</v>
      </c>
      <c r="H51" s="3">
        <f t="shared" si="3"/>
        <v>27645.149386248489</v>
      </c>
      <c r="I51" s="3">
        <v>0</v>
      </c>
      <c r="J51" s="3">
        <f t="shared" si="4"/>
        <v>504818.26467862533</v>
      </c>
      <c r="K51" s="3">
        <f t="shared" si="18"/>
        <v>165870.89631749093</v>
      </c>
      <c r="L51" s="3">
        <f t="shared" si="5"/>
        <v>504818.26467862533</v>
      </c>
      <c r="M51" s="3">
        <f t="shared" si="6"/>
        <v>165870.89631749093</v>
      </c>
      <c r="N51" s="3">
        <f t="shared" si="7"/>
        <v>0</v>
      </c>
      <c r="O51" s="3">
        <f t="shared" si="8"/>
        <v>338947.36836113443</v>
      </c>
      <c r="P51" s="3">
        <f t="shared" si="9"/>
        <v>6618377.9643018944</v>
      </c>
      <c r="Q51" s="3">
        <f t="shared" si="10"/>
        <v>6618377.9643018944</v>
      </c>
      <c r="R51" s="3">
        <f t="shared" si="11"/>
        <v>59729980.562694475</v>
      </c>
      <c r="S51" s="3">
        <f t="shared" si="16"/>
        <v>50731721.671332888</v>
      </c>
      <c r="T51" s="3">
        <v>10000000</v>
      </c>
      <c r="U51" s="3">
        <f t="shared" si="12"/>
        <v>338947.36836113443</v>
      </c>
      <c r="V51" s="3">
        <f t="shared" si="13"/>
        <v>338947.36836113443</v>
      </c>
      <c r="W51" s="3">
        <f t="shared" si="14"/>
        <v>51070669.039694026</v>
      </c>
      <c r="X51" s="3">
        <f>(W51-T51)-SUM(X12:X50)</f>
        <v>338947.36836113781</v>
      </c>
    </row>
    <row r="52" spans="1:24" ht="14.5" x14ac:dyDescent="0.35">
      <c r="A52" s="1">
        <v>41</v>
      </c>
      <c r="B52" s="3">
        <v>6288526.3892000755</v>
      </c>
      <c r="C52" s="3">
        <v>478466.0540171559</v>
      </c>
      <c r="E52" s="1">
        <v>41</v>
      </c>
      <c r="F52" s="3">
        <f t="shared" si="15"/>
        <v>59729980.562694475</v>
      </c>
      <c r="G52" s="3">
        <f t="shared" si="17"/>
        <v>24887.491901122699</v>
      </c>
      <c r="H52" s="3">
        <f t="shared" si="3"/>
        <v>24887.491901122699</v>
      </c>
      <c r="I52" s="3">
        <v>0</v>
      </c>
      <c r="J52" s="3">
        <f t="shared" si="4"/>
        <v>453578.56211603322</v>
      </c>
      <c r="K52" s="3">
        <f t="shared" si="18"/>
        <v>149324.95140673619</v>
      </c>
      <c r="L52" s="3">
        <f t="shared" si="5"/>
        <v>453578.56211603322</v>
      </c>
      <c r="M52" s="3">
        <f t="shared" si="6"/>
        <v>149324.95140673619</v>
      </c>
      <c r="N52" s="3">
        <f t="shared" si="7"/>
        <v>0</v>
      </c>
      <c r="O52" s="3">
        <f t="shared" si="8"/>
        <v>304253.61070929701</v>
      </c>
      <c r="P52" s="3">
        <f t="shared" si="9"/>
        <v>6288526.3892000755</v>
      </c>
      <c r="Q52" s="3">
        <f t="shared" si="10"/>
        <v>6288526.3892000755</v>
      </c>
      <c r="R52" s="3">
        <f t="shared" si="11"/>
        <v>53441454.173494399</v>
      </c>
      <c r="S52" s="3">
        <f t="shared" si="16"/>
        <v>51070669.039694026</v>
      </c>
      <c r="T52" s="3">
        <v>10000000</v>
      </c>
      <c r="U52" s="3">
        <f t="shared" si="12"/>
        <v>304253.61070929701</v>
      </c>
      <c r="V52" s="3">
        <f t="shared" si="13"/>
        <v>304253.61070929701</v>
      </c>
      <c r="W52" s="3">
        <f t="shared" si="14"/>
        <v>51374922.650403321</v>
      </c>
      <c r="X52" s="3">
        <f>(W52-T52)-SUM(X16:X51)</f>
        <v>304253.61070929468</v>
      </c>
    </row>
    <row r="53" spans="1:24" ht="14.5" x14ac:dyDescent="0.35">
      <c r="A53" s="1">
        <v>42</v>
      </c>
      <c r="B53" s="3">
        <v>5846482.5395424189</v>
      </c>
      <c r="C53" s="3">
        <v>427251.33949142293</v>
      </c>
      <c r="E53" s="1">
        <v>42</v>
      </c>
      <c r="F53" s="3">
        <f t="shared" si="15"/>
        <v>53441454.173494399</v>
      </c>
      <c r="G53" s="3">
        <f t="shared" si="17"/>
        <v>22267.272572289334</v>
      </c>
      <c r="H53" s="3">
        <f t="shared" si="3"/>
        <v>22267.272572289334</v>
      </c>
      <c r="I53" s="3">
        <v>0</v>
      </c>
      <c r="J53" s="3">
        <f t="shared" si="4"/>
        <v>404984.06691913359</v>
      </c>
      <c r="K53" s="3">
        <f t="shared" si="18"/>
        <v>133603.635433736</v>
      </c>
      <c r="L53" s="3">
        <f t="shared" si="5"/>
        <v>404984.06691913359</v>
      </c>
      <c r="M53" s="3">
        <f t="shared" si="6"/>
        <v>133603.635433736</v>
      </c>
      <c r="N53" s="3">
        <f t="shared" si="7"/>
        <v>0</v>
      </c>
      <c r="O53" s="3">
        <f t="shared" si="8"/>
        <v>271380.43148539762</v>
      </c>
      <c r="P53" s="3">
        <f t="shared" si="9"/>
        <v>5846482.5395424189</v>
      </c>
      <c r="Q53" s="3">
        <f t="shared" si="10"/>
        <v>5846482.5395424189</v>
      </c>
      <c r="R53" s="3">
        <f t="shared" si="11"/>
        <v>47594971.633951977</v>
      </c>
      <c r="S53" s="3">
        <f t="shared" si="16"/>
        <v>51374922.650403321</v>
      </c>
      <c r="T53" s="3">
        <v>10000000</v>
      </c>
      <c r="U53" s="3">
        <f t="shared" si="12"/>
        <v>271380.43148539762</v>
      </c>
      <c r="V53" s="3">
        <f t="shared" si="13"/>
        <v>271380.43148539762</v>
      </c>
      <c r="W53" s="3">
        <f t="shared" si="14"/>
        <v>51646303.08188872</v>
      </c>
      <c r="X53" s="3">
        <f>(W53-T53)-SUM(X16:X52)</f>
        <v>271380.4314853996</v>
      </c>
    </row>
    <row r="54" spans="1:24" ht="14.5" x14ac:dyDescent="0.35">
      <c r="A54" s="1">
        <v>43</v>
      </c>
      <c r="B54" s="3">
        <v>5390956.5915742582</v>
      </c>
      <c r="C54" s="3">
        <v>379763.04395535565</v>
      </c>
      <c r="E54" s="1">
        <v>43</v>
      </c>
      <c r="F54" s="3">
        <f t="shared" si="15"/>
        <v>47594971.633951977</v>
      </c>
      <c r="G54" s="3">
        <f t="shared" si="17"/>
        <v>19831.238180813325</v>
      </c>
      <c r="H54" s="3">
        <f t="shared" si="3"/>
        <v>19831.238180813325</v>
      </c>
      <c r="I54" s="3">
        <v>0</v>
      </c>
      <c r="J54" s="3">
        <f t="shared" si="4"/>
        <v>359931.80577454233</v>
      </c>
      <c r="K54" s="3">
        <f t="shared" si="18"/>
        <v>118987.42908487994</v>
      </c>
      <c r="L54" s="3">
        <f t="shared" si="5"/>
        <v>359931.80577454233</v>
      </c>
      <c r="M54" s="3">
        <f t="shared" si="6"/>
        <v>118987.42908487994</v>
      </c>
      <c r="N54" s="3">
        <f t="shared" si="7"/>
        <v>0</v>
      </c>
      <c r="O54" s="3">
        <f t="shared" si="8"/>
        <v>240944.3766896624</v>
      </c>
      <c r="P54" s="3">
        <f t="shared" si="9"/>
        <v>5390956.5915742582</v>
      </c>
      <c r="Q54" s="3">
        <f t="shared" si="10"/>
        <v>5390956.5915742582</v>
      </c>
      <c r="R54" s="3">
        <f t="shared" si="11"/>
        <v>42204015.042377718</v>
      </c>
      <c r="S54" s="3">
        <f t="shared" si="16"/>
        <v>51646303.08188872</v>
      </c>
      <c r="T54" s="3">
        <v>10000000</v>
      </c>
      <c r="U54" s="3">
        <f t="shared" si="12"/>
        <v>240944.3766896624</v>
      </c>
      <c r="V54" s="3">
        <f t="shared" si="13"/>
        <v>240944.3766896624</v>
      </c>
      <c r="W54" s="3">
        <f t="shared" si="14"/>
        <v>51887247.458578385</v>
      </c>
      <c r="X54" s="3">
        <f>(W54-T54)-SUM(X16:X53)</f>
        <v>240944.37668966502</v>
      </c>
    </row>
    <row r="55" spans="1:24" ht="14.5" x14ac:dyDescent="0.35">
      <c r="A55" s="1">
        <v>44</v>
      </c>
      <c r="B55" s="3">
        <v>4982726.6407855824</v>
      </c>
      <c r="C55" s="3">
        <v>336104.65405096213</v>
      </c>
      <c r="E55" s="1">
        <v>44</v>
      </c>
      <c r="F55" s="3">
        <f t="shared" si="15"/>
        <v>42204015.042377718</v>
      </c>
      <c r="G55" s="3">
        <f t="shared" si="17"/>
        <v>17585.006267657383</v>
      </c>
      <c r="H55" s="3">
        <f t="shared" si="3"/>
        <v>17585.006267657383</v>
      </c>
      <c r="I55" s="3">
        <v>0</v>
      </c>
      <c r="J55" s="3">
        <f t="shared" si="4"/>
        <v>318519.64778330474</v>
      </c>
      <c r="K55" s="3">
        <f t="shared" si="18"/>
        <v>105510.03760594429</v>
      </c>
      <c r="L55" s="3">
        <f t="shared" si="5"/>
        <v>318519.64778330474</v>
      </c>
      <c r="M55" s="3">
        <f t="shared" si="6"/>
        <v>105510.03760594429</v>
      </c>
      <c r="N55" s="3">
        <f t="shared" si="7"/>
        <v>0</v>
      </c>
      <c r="O55" s="3">
        <f t="shared" si="8"/>
        <v>213009.61017736045</v>
      </c>
      <c r="P55" s="3">
        <f t="shared" si="9"/>
        <v>4982726.6407855824</v>
      </c>
      <c r="Q55" s="3">
        <f t="shared" si="10"/>
        <v>4982726.6407855824</v>
      </c>
      <c r="R55" s="3">
        <f t="shared" si="11"/>
        <v>37221288.401592135</v>
      </c>
      <c r="S55" s="3">
        <f t="shared" si="16"/>
        <v>51887247.458578385</v>
      </c>
      <c r="T55" s="3">
        <v>10000000</v>
      </c>
      <c r="U55" s="3">
        <f t="shared" si="12"/>
        <v>213009.61017736045</v>
      </c>
      <c r="V55" s="3">
        <f t="shared" si="13"/>
        <v>213009.61017736045</v>
      </c>
      <c r="W55" s="3">
        <f t="shared" si="14"/>
        <v>52100257.068755746</v>
      </c>
      <c r="X55" s="3">
        <f>(W55-T55)-SUM(X16:X54)</f>
        <v>213009.61017736048</v>
      </c>
    </row>
    <row r="56" spans="1:24" ht="14.5" x14ac:dyDescent="0.35">
      <c r="A56" s="1">
        <v>45</v>
      </c>
      <c r="B56" s="3">
        <v>4630270.6627670182</v>
      </c>
      <c r="C56" s="3">
        <v>295856.80569520255</v>
      </c>
      <c r="E56" s="1">
        <v>45</v>
      </c>
      <c r="F56" s="3">
        <f t="shared" si="15"/>
        <v>37221288.401592135</v>
      </c>
      <c r="G56" s="3">
        <f t="shared" si="17"/>
        <v>15508.870167330057</v>
      </c>
      <c r="H56" s="3">
        <f t="shared" si="3"/>
        <v>15508.870167330057</v>
      </c>
      <c r="I56" s="3">
        <v>0</v>
      </c>
      <c r="J56" s="3">
        <f t="shared" si="4"/>
        <v>280347.93552787247</v>
      </c>
      <c r="K56" s="3">
        <f t="shared" si="18"/>
        <v>93053.221003980347</v>
      </c>
      <c r="L56" s="3">
        <f t="shared" si="5"/>
        <v>280347.93552787247</v>
      </c>
      <c r="M56" s="3">
        <f t="shared" si="6"/>
        <v>93053.221003980347</v>
      </c>
      <c r="N56" s="3">
        <f t="shared" si="7"/>
        <v>0</v>
      </c>
      <c r="O56" s="3">
        <f t="shared" si="8"/>
        <v>187294.71452389212</v>
      </c>
      <c r="P56" s="3">
        <f t="shared" si="9"/>
        <v>4630270.6627670182</v>
      </c>
      <c r="Q56" s="3">
        <f t="shared" si="10"/>
        <v>4630270.6627670182</v>
      </c>
      <c r="R56" s="3">
        <f t="shared" si="11"/>
        <v>32591017.738825116</v>
      </c>
      <c r="S56" s="3">
        <f t="shared" si="16"/>
        <v>52100257.068755746</v>
      </c>
      <c r="T56" s="3">
        <v>10000000</v>
      </c>
      <c r="U56" s="3">
        <f t="shared" si="12"/>
        <v>187294.71452389212</v>
      </c>
      <c r="V56" s="3">
        <f t="shared" si="13"/>
        <v>187294.71452389212</v>
      </c>
      <c r="W56" s="3">
        <f t="shared" si="14"/>
        <v>52287551.783279635</v>
      </c>
      <c r="X56" s="3">
        <f>(W56-T56)-SUM(X16:X55)</f>
        <v>187294.71452388912</v>
      </c>
    </row>
    <row r="57" spans="1:24" ht="14.5" x14ac:dyDescent="0.35">
      <c r="A57" s="1">
        <v>46</v>
      </c>
      <c r="B57" s="3">
        <v>4325556.7620587163</v>
      </c>
      <c r="C57" s="3">
        <v>258588.85290822457</v>
      </c>
      <c r="E57" s="1">
        <v>46</v>
      </c>
      <c r="F57" s="3">
        <f t="shared" si="15"/>
        <v>32591017.738825116</v>
      </c>
      <c r="G57" s="3">
        <f t="shared" si="17"/>
        <v>13579.590724510466</v>
      </c>
      <c r="H57" s="3">
        <f t="shared" si="3"/>
        <v>13579.590724510466</v>
      </c>
      <c r="I57" s="3">
        <v>0</v>
      </c>
      <c r="J57" s="3">
        <f t="shared" si="4"/>
        <v>245009.26218371411</v>
      </c>
      <c r="K57" s="3">
        <f t="shared" si="18"/>
        <v>81477.544347062794</v>
      </c>
      <c r="L57" s="3">
        <f t="shared" si="5"/>
        <v>245009.26218371411</v>
      </c>
      <c r="M57" s="3">
        <f t="shared" si="6"/>
        <v>81477.544347062794</v>
      </c>
      <c r="N57" s="3">
        <f t="shared" si="7"/>
        <v>0</v>
      </c>
      <c r="O57" s="3">
        <f t="shared" si="8"/>
        <v>163531.71783665131</v>
      </c>
      <c r="P57" s="3">
        <f t="shared" si="9"/>
        <v>4325556.7620587163</v>
      </c>
      <c r="Q57" s="3">
        <f t="shared" si="10"/>
        <v>4325556.7620587163</v>
      </c>
      <c r="R57" s="3">
        <f t="shared" si="11"/>
        <v>28265460.9767664</v>
      </c>
      <c r="S57" s="3">
        <f t="shared" si="16"/>
        <v>52287551.783279635</v>
      </c>
      <c r="T57" s="3">
        <v>10000000</v>
      </c>
      <c r="U57" s="3">
        <f t="shared" si="12"/>
        <v>163531.71783665131</v>
      </c>
      <c r="V57" s="3">
        <f t="shared" si="13"/>
        <v>163531.71783665131</v>
      </c>
      <c r="W57" s="3">
        <f t="shared" si="14"/>
        <v>52451083.501116283</v>
      </c>
      <c r="X57" s="3">
        <f>(W57-T57)-SUM(X16:X56)</f>
        <v>163531.71783664823</v>
      </c>
    </row>
    <row r="58" spans="1:24" ht="14.5" x14ac:dyDescent="0.35">
      <c r="A58" s="1">
        <v>47</v>
      </c>
      <c r="B58" s="3">
        <v>4039026.3400027626</v>
      </c>
      <c r="C58" s="3">
        <v>223876.53030212456</v>
      </c>
      <c r="E58" s="1">
        <v>47</v>
      </c>
      <c r="F58" s="3">
        <f t="shared" si="15"/>
        <v>28265460.9767664</v>
      </c>
      <c r="G58" s="3">
        <f t="shared" si="17"/>
        <v>11777.275406986</v>
      </c>
      <c r="H58" s="3">
        <f t="shared" si="3"/>
        <v>11777.275406986</v>
      </c>
      <c r="I58" s="3">
        <v>0</v>
      </c>
      <c r="J58" s="3">
        <f t="shared" si="4"/>
        <v>212099.25489513855</v>
      </c>
      <c r="K58" s="3">
        <f t="shared" si="18"/>
        <v>70663.652441915998</v>
      </c>
      <c r="L58" s="3">
        <f t="shared" si="5"/>
        <v>212099.25489513855</v>
      </c>
      <c r="M58" s="3">
        <f t="shared" si="6"/>
        <v>70663.652441915998</v>
      </c>
      <c r="N58" s="3">
        <f t="shared" si="7"/>
        <v>0</v>
      </c>
      <c r="O58" s="3">
        <f t="shared" si="8"/>
        <v>141435.60245322256</v>
      </c>
      <c r="P58" s="3">
        <f t="shared" si="9"/>
        <v>4039026.3400027626</v>
      </c>
      <c r="Q58" s="3">
        <f t="shared" si="10"/>
        <v>4039026.3400027626</v>
      </c>
      <c r="R58" s="3">
        <f t="shared" si="11"/>
        <v>24226434.636763636</v>
      </c>
      <c r="S58" s="3">
        <f t="shared" si="16"/>
        <v>52451083.501116283</v>
      </c>
      <c r="T58" s="3">
        <v>10000000</v>
      </c>
      <c r="U58" s="3">
        <f t="shared" si="12"/>
        <v>141435.60245322256</v>
      </c>
      <c r="V58" s="3">
        <f t="shared" si="13"/>
        <v>141435.60245322256</v>
      </c>
      <c r="W58" s="3">
        <f t="shared" si="14"/>
        <v>52592519.103569508</v>
      </c>
      <c r="X58" s="3">
        <f>(W58-T58)-SUM(X16:X57)</f>
        <v>141435.60245322436</v>
      </c>
    </row>
    <row r="59" spans="1:24" ht="14.5" x14ac:dyDescent="0.35">
      <c r="A59" s="1">
        <v>48</v>
      </c>
      <c r="B59" s="3">
        <v>3747998.0216689203</v>
      </c>
      <c r="C59" s="3">
        <v>191605.28070568832</v>
      </c>
      <c r="E59" s="1">
        <v>48</v>
      </c>
      <c r="F59" s="3">
        <f t="shared" si="15"/>
        <v>24226434.636763636</v>
      </c>
      <c r="G59" s="3">
        <f t="shared" si="17"/>
        <v>10094.347765318182</v>
      </c>
      <c r="H59" s="3">
        <f t="shared" si="3"/>
        <v>10094.347765318182</v>
      </c>
      <c r="I59" s="3">
        <v>0</v>
      </c>
      <c r="J59" s="3">
        <f t="shared" si="4"/>
        <v>181510.93294037014</v>
      </c>
      <c r="K59" s="3">
        <f t="shared" si="18"/>
        <v>60566.086591909094</v>
      </c>
      <c r="L59" s="3">
        <f t="shared" si="5"/>
        <v>181510.93294037014</v>
      </c>
      <c r="M59" s="3">
        <f t="shared" si="6"/>
        <v>60566.086591909094</v>
      </c>
      <c r="N59" s="3">
        <f t="shared" si="7"/>
        <v>0</v>
      </c>
      <c r="O59" s="3">
        <f t="shared" si="8"/>
        <v>120944.84634846105</v>
      </c>
      <c r="P59" s="3">
        <f t="shared" si="9"/>
        <v>3747998.0216689203</v>
      </c>
      <c r="Q59" s="3">
        <f t="shared" si="10"/>
        <v>3747998.0216689203</v>
      </c>
      <c r="R59" s="3">
        <f t="shared" si="11"/>
        <v>20478436.615094714</v>
      </c>
      <c r="S59" s="3">
        <f t="shared" si="16"/>
        <v>52592519.103569508</v>
      </c>
      <c r="T59" s="3">
        <v>10000000</v>
      </c>
      <c r="U59" s="3">
        <f t="shared" si="12"/>
        <v>120944.84634846105</v>
      </c>
      <c r="V59" s="3">
        <f t="shared" si="13"/>
        <v>120944.84634846105</v>
      </c>
      <c r="W59" s="3">
        <f t="shared" si="14"/>
        <v>52713463.949917972</v>
      </c>
      <c r="X59" s="3">
        <f>(W59-T59)-SUM(X16:X58)</f>
        <v>120944.84634846449</v>
      </c>
    </row>
    <row r="60" spans="1:24" ht="14.5" x14ac:dyDescent="0.35">
      <c r="A60" s="1">
        <v>49</v>
      </c>
      <c r="B60" s="3">
        <v>3394370.7244836921</v>
      </c>
      <c r="C60" s="3">
        <v>161731.31639682202</v>
      </c>
      <c r="E60" s="1">
        <v>49</v>
      </c>
      <c r="F60" s="3">
        <f t="shared" si="15"/>
        <v>20478436.615094714</v>
      </c>
      <c r="G60" s="3">
        <f t="shared" si="17"/>
        <v>8532.6819229561315</v>
      </c>
      <c r="H60" s="3">
        <f t="shared" si="3"/>
        <v>8532.6819229561315</v>
      </c>
      <c r="I60" s="3">
        <v>0</v>
      </c>
      <c r="J60" s="3">
        <f t="shared" si="4"/>
        <v>153198.63447386588</v>
      </c>
      <c r="K60" s="3">
        <f t="shared" si="18"/>
        <v>51196.091537736786</v>
      </c>
      <c r="L60" s="3">
        <f t="shared" si="5"/>
        <v>153198.63447386588</v>
      </c>
      <c r="M60" s="3">
        <f t="shared" si="6"/>
        <v>51196.091537736786</v>
      </c>
      <c r="N60" s="3">
        <f t="shared" si="7"/>
        <v>0</v>
      </c>
      <c r="O60" s="3">
        <f t="shared" si="8"/>
        <v>102002.54293612909</v>
      </c>
      <c r="P60" s="3">
        <f t="shared" si="9"/>
        <v>3394370.7244836921</v>
      </c>
      <c r="Q60" s="3">
        <f t="shared" si="10"/>
        <v>3394370.7244836921</v>
      </c>
      <c r="R60" s="3">
        <f t="shared" si="11"/>
        <v>17084065.890611023</v>
      </c>
      <c r="S60" s="3">
        <f t="shared" si="16"/>
        <v>52713463.949917972</v>
      </c>
      <c r="T60" s="3">
        <v>10000000</v>
      </c>
      <c r="U60" s="3">
        <f t="shared" si="12"/>
        <v>102002.54293612909</v>
      </c>
      <c r="V60" s="3">
        <f t="shared" si="13"/>
        <v>102002.54293612909</v>
      </c>
      <c r="W60" s="3">
        <f t="shared" si="14"/>
        <v>52815466.492854103</v>
      </c>
      <c r="X60" s="3">
        <f>(W60-T60)-SUM(X16:X59)</f>
        <v>102002.54293613136</v>
      </c>
    </row>
    <row r="61" spans="1:24" ht="14.5" x14ac:dyDescent="0.35">
      <c r="A61" s="1">
        <v>50</v>
      </c>
      <c r="B61" s="3">
        <v>3033016.9301119586</v>
      </c>
      <c r="C61" s="3">
        <v>134773.85450022138</v>
      </c>
      <c r="E61" s="1">
        <v>50</v>
      </c>
      <c r="F61" s="3">
        <f t="shared" si="15"/>
        <v>17084065.890611023</v>
      </c>
      <c r="G61" s="3">
        <f t="shared" si="17"/>
        <v>7118.3607877545928</v>
      </c>
      <c r="H61" s="3">
        <f t="shared" si="3"/>
        <v>7118.3607877545928</v>
      </c>
      <c r="I61" s="3">
        <v>0</v>
      </c>
      <c r="J61" s="3">
        <f t="shared" si="4"/>
        <v>127655.49371246679</v>
      </c>
      <c r="K61" s="3">
        <f t="shared" si="18"/>
        <v>42710.164726527561</v>
      </c>
      <c r="L61" s="3">
        <f t="shared" si="5"/>
        <v>127655.49371246679</v>
      </c>
      <c r="M61" s="3">
        <f t="shared" si="6"/>
        <v>42710.164726527561</v>
      </c>
      <c r="N61" s="3">
        <f t="shared" si="7"/>
        <v>0</v>
      </c>
      <c r="O61" s="3">
        <f t="shared" si="8"/>
        <v>84945.328985939239</v>
      </c>
      <c r="P61" s="3">
        <f t="shared" si="9"/>
        <v>3033016.9301119586</v>
      </c>
      <c r="Q61" s="3">
        <f t="shared" si="10"/>
        <v>3033016.9301119586</v>
      </c>
      <c r="R61" s="3">
        <f t="shared" si="11"/>
        <v>14051048.960499063</v>
      </c>
      <c r="S61" s="3">
        <f t="shared" si="16"/>
        <v>52815466.492854103</v>
      </c>
      <c r="T61" s="3">
        <v>10000000</v>
      </c>
      <c r="U61" s="3">
        <f t="shared" si="12"/>
        <v>84945.328985939239</v>
      </c>
      <c r="V61" s="3">
        <f t="shared" si="13"/>
        <v>84945.328985939239</v>
      </c>
      <c r="W61" s="3">
        <f t="shared" si="14"/>
        <v>52900411.82184004</v>
      </c>
      <c r="X61" s="3">
        <f>(W61-T61)-SUM(X16:X60)</f>
        <v>84945.32898593694</v>
      </c>
    </row>
    <row r="62" spans="1:24" ht="14.5" x14ac:dyDescent="0.35">
      <c r="A62" s="1">
        <v>51</v>
      </c>
      <c r="B62" s="3">
        <v>2694658.9604865196</v>
      </c>
      <c r="C62" s="3">
        <v>110796.56925430387</v>
      </c>
      <c r="E62" s="1">
        <v>51</v>
      </c>
      <c r="F62" s="3">
        <f t="shared" si="15"/>
        <v>14051048.960499063</v>
      </c>
      <c r="G62" s="3">
        <f t="shared" si="17"/>
        <v>5854.6037335412766</v>
      </c>
      <c r="H62" s="3">
        <f t="shared" si="3"/>
        <v>5854.6037335412766</v>
      </c>
      <c r="I62" s="3">
        <v>0</v>
      </c>
      <c r="J62" s="3">
        <f t="shared" si="4"/>
        <v>104941.96552076261</v>
      </c>
      <c r="K62" s="3">
        <f t="shared" si="18"/>
        <v>35127.62240124766</v>
      </c>
      <c r="L62" s="3">
        <f t="shared" si="5"/>
        <v>104941.96552076261</v>
      </c>
      <c r="M62" s="3">
        <f t="shared" si="6"/>
        <v>35127.62240124766</v>
      </c>
      <c r="N62" s="3">
        <f t="shared" si="7"/>
        <v>0</v>
      </c>
      <c r="O62" s="3">
        <f t="shared" si="8"/>
        <v>69814.343119514946</v>
      </c>
      <c r="P62" s="3">
        <f t="shared" si="9"/>
        <v>2694658.9604865196</v>
      </c>
      <c r="Q62" s="3">
        <f t="shared" si="10"/>
        <v>2694658.9604865196</v>
      </c>
      <c r="R62" s="3">
        <f t="shared" si="11"/>
        <v>11356390.000012543</v>
      </c>
      <c r="S62" s="3">
        <f t="shared" si="16"/>
        <v>52900411.82184004</v>
      </c>
      <c r="T62" s="3">
        <v>10000000</v>
      </c>
      <c r="U62" s="3">
        <f t="shared" si="12"/>
        <v>69814.343119514946</v>
      </c>
      <c r="V62" s="3">
        <f t="shared" si="13"/>
        <v>69814.343119514946</v>
      </c>
      <c r="W62" s="3">
        <f t="shared" si="14"/>
        <v>52970226.164959557</v>
      </c>
      <c r="X62" s="3">
        <f>(W62-T62)-SUM(X16:X61)</f>
        <v>69814.343119516969</v>
      </c>
    </row>
    <row r="63" spans="1:24" ht="14.5" x14ac:dyDescent="0.35">
      <c r="A63" s="1">
        <v>52</v>
      </c>
      <c r="B63" s="3">
        <v>2353387.3263886929</v>
      </c>
      <c r="C63" s="3">
        <v>89555.456246483169</v>
      </c>
      <c r="E63" s="1">
        <v>52</v>
      </c>
      <c r="F63" s="3">
        <f t="shared" si="15"/>
        <v>11356390.000012543</v>
      </c>
      <c r="G63" s="3">
        <f t="shared" si="17"/>
        <v>4731.8291666718933</v>
      </c>
      <c r="H63" s="3">
        <f t="shared" si="3"/>
        <v>4731.8291666718933</v>
      </c>
      <c r="I63" s="3">
        <v>0</v>
      </c>
      <c r="J63" s="3">
        <f t="shared" si="4"/>
        <v>84823.627079811282</v>
      </c>
      <c r="K63" s="3">
        <f t="shared" si="18"/>
        <v>28390.975000031358</v>
      </c>
      <c r="L63" s="3">
        <f t="shared" si="5"/>
        <v>84823.627079811282</v>
      </c>
      <c r="M63" s="3">
        <f t="shared" si="6"/>
        <v>28390.975000031358</v>
      </c>
      <c r="N63" s="3">
        <f t="shared" si="7"/>
        <v>0</v>
      </c>
      <c r="O63" s="3">
        <f t="shared" si="8"/>
        <v>56432.652079779924</v>
      </c>
      <c r="P63" s="3">
        <f t="shared" si="9"/>
        <v>2353387.3263886929</v>
      </c>
      <c r="Q63" s="3">
        <f t="shared" si="10"/>
        <v>2353387.3263886929</v>
      </c>
      <c r="R63" s="3">
        <f t="shared" si="11"/>
        <v>9003002.6736238506</v>
      </c>
      <c r="S63" s="3">
        <f t="shared" si="16"/>
        <v>52970226.164959557</v>
      </c>
      <c r="T63" s="3">
        <v>10000000</v>
      </c>
      <c r="U63" s="3">
        <f t="shared" si="12"/>
        <v>56432.652079779924</v>
      </c>
      <c r="V63" s="3">
        <f t="shared" si="13"/>
        <v>56432.652079779924</v>
      </c>
      <c r="W63" s="3">
        <f t="shared" si="14"/>
        <v>53026658.817039341</v>
      </c>
      <c r="X63" s="3">
        <f>(W63-T63)-SUM(X16:X62)</f>
        <v>56432.65207978338</v>
      </c>
    </row>
    <row r="64" spans="1:24" ht="14.5" x14ac:dyDescent="0.35">
      <c r="A64" s="1">
        <v>53</v>
      </c>
      <c r="B64" s="3">
        <v>2019514.4715199247</v>
      </c>
      <c r="C64" s="3">
        <v>71035.994668861473</v>
      </c>
      <c r="E64" s="1">
        <v>53</v>
      </c>
      <c r="F64" s="3">
        <f t="shared" si="15"/>
        <v>9003002.6736238506</v>
      </c>
      <c r="G64" s="3">
        <f t="shared" si="17"/>
        <v>3751.2511140099382</v>
      </c>
      <c r="H64" s="3">
        <f t="shared" si="3"/>
        <v>3751.2511140099382</v>
      </c>
      <c r="I64" s="3">
        <v>0</v>
      </c>
      <c r="J64" s="3">
        <f t="shared" si="4"/>
        <v>67284.743554851535</v>
      </c>
      <c r="K64" s="3">
        <f t="shared" si="18"/>
        <v>22507.506684059626</v>
      </c>
      <c r="L64" s="3">
        <f t="shared" si="5"/>
        <v>67284.743554851535</v>
      </c>
      <c r="M64" s="3">
        <f t="shared" si="6"/>
        <v>22507.506684059626</v>
      </c>
      <c r="N64" s="3">
        <f t="shared" si="7"/>
        <v>0</v>
      </c>
      <c r="O64" s="3">
        <f t="shared" si="8"/>
        <v>44777.236870791909</v>
      </c>
      <c r="P64" s="3">
        <f t="shared" si="9"/>
        <v>2019514.4715199247</v>
      </c>
      <c r="Q64" s="3">
        <f t="shared" si="10"/>
        <v>2019514.4715199247</v>
      </c>
      <c r="R64" s="3">
        <f t="shared" si="11"/>
        <v>6983488.2021039259</v>
      </c>
      <c r="S64" s="3">
        <f t="shared" si="16"/>
        <v>53026658.817039341</v>
      </c>
      <c r="T64" s="3">
        <v>10000000</v>
      </c>
      <c r="U64" s="3">
        <f t="shared" si="12"/>
        <v>44777.236870791909</v>
      </c>
      <c r="V64" s="3">
        <f t="shared" si="13"/>
        <v>44777.236870791909</v>
      </c>
      <c r="W64" s="3">
        <f t="shared" si="14"/>
        <v>53071436.053910136</v>
      </c>
      <c r="X64" s="3">
        <f>(W64-T64)-SUM(X16:X63)</f>
        <v>44777.236870795488</v>
      </c>
    </row>
    <row r="65" spans="1:24" ht="14.5" x14ac:dyDescent="0.35">
      <c r="A65" s="1">
        <v>54</v>
      </c>
      <c r="B65" s="3">
        <v>1686870.1617079207</v>
      </c>
      <c r="C65" s="3">
        <v>55176.063010557329</v>
      </c>
      <c r="E65" s="1">
        <v>54</v>
      </c>
      <c r="F65" s="3">
        <f t="shared" si="15"/>
        <v>6983488.2021039259</v>
      </c>
      <c r="G65" s="3">
        <f t="shared" si="17"/>
        <v>2909.7867508766358</v>
      </c>
      <c r="H65" s="3">
        <f t="shared" si="3"/>
        <v>2909.7867508766358</v>
      </c>
      <c r="I65" s="3">
        <v>0</v>
      </c>
      <c r="J65" s="3">
        <f t="shared" si="4"/>
        <v>52266.276259680693</v>
      </c>
      <c r="K65" s="3">
        <f t="shared" si="18"/>
        <v>17458.720505259815</v>
      </c>
      <c r="L65" s="3">
        <f t="shared" si="5"/>
        <v>52266.276259680693</v>
      </c>
      <c r="M65" s="3">
        <f t="shared" si="6"/>
        <v>17458.720505259815</v>
      </c>
      <c r="N65" s="3">
        <f t="shared" si="7"/>
        <v>0</v>
      </c>
      <c r="O65" s="3">
        <f t="shared" si="8"/>
        <v>34807.555754420879</v>
      </c>
      <c r="P65" s="3">
        <f t="shared" si="9"/>
        <v>1686870.1617079207</v>
      </c>
      <c r="Q65" s="3">
        <f t="shared" si="10"/>
        <v>1686870.1617079207</v>
      </c>
      <c r="R65" s="3">
        <f t="shared" si="11"/>
        <v>5296618.0403960049</v>
      </c>
      <c r="S65" s="3">
        <f t="shared" si="16"/>
        <v>53071436.053910136</v>
      </c>
      <c r="T65" s="3">
        <v>10000000</v>
      </c>
      <c r="U65" s="3">
        <f t="shared" si="12"/>
        <v>34807.555754420879</v>
      </c>
      <c r="V65" s="3">
        <f t="shared" si="13"/>
        <v>34807.555754420879</v>
      </c>
      <c r="W65" s="3">
        <f t="shared" si="14"/>
        <v>53106243.609664559</v>
      </c>
      <c r="X65" s="3">
        <f>(W65-T65)-SUM(X16:X64)</f>
        <v>34807.555754423141</v>
      </c>
    </row>
    <row r="66" spans="1:24" ht="14.5" x14ac:dyDescent="0.35">
      <c r="A66" s="1">
        <v>55</v>
      </c>
      <c r="B66" s="3">
        <v>1335691.0525682529</v>
      </c>
      <c r="C66" s="3">
        <v>41975.021136910356</v>
      </c>
      <c r="E66" s="1">
        <v>55</v>
      </c>
      <c r="F66" s="3">
        <f t="shared" si="15"/>
        <v>5296618.0403960049</v>
      </c>
      <c r="G66" s="3">
        <f t="shared" si="17"/>
        <v>2206.9241834983354</v>
      </c>
      <c r="H66" s="3">
        <f t="shared" si="3"/>
        <v>2206.9241834983354</v>
      </c>
      <c r="I66" s="3">
        <v>0</v>
      </c>
      <c r="J66" s="3">
        <f t="shared" si="4"/>
        <v>39768.096953412023</v>
      </c>
      <c r="K66" s="3">
        <f t="shared" si="18"/>
        <v>13241.545100990013</v>
      </c>
      <c r="L66" s="3">
        <f t="shared" si="5"/>
        <v>39768.096953412023</v>
      </c>
      <c r="M66" s="3">
        <f t="shared" si="6"/>
        <v>13241.545100990013</v>
      </c>
      <c r="N66" s="3">
        <f t="shared" si="7"/>
        <v>0</v>
      </c>
      <c r="O66" s="3">
        <f t="shared" si="8"/>
        <v>26526.55185242201</v>
      </c>
      <c r="P66" s="3">
        <f t="shared" si="9"/>
        <v>1335691.0525682529</v>
      </c>
      <c r="Q66" s="3">
        <f t="shared" si="10"/>
        <v>1335691.0525682529</v>
      </c>
      <c r="R66" s="3">
        <f t="shared" si="11"/>
        <v>3960926.9878277518</v>
      </c>
      <c r="S66" s="3">
        <f t="shared" si="16"/>
        <v>53106243.609664559</v>
      </c>
      <c r="T66" s="3">
        <v>10000000</v>
      </c>
      <c r="U66" s="3">
        <f t="shared" si="12"/>
        <v>26526.55185242201</v>
      </c>
      <c r="V66" s="3">
        <f t="shared" si="13"/>
        <v>26526.55185242201</v>
      </c>
      <c r="W66" s="3">
        <f t="shared" si="14"/>
        <v>53132770.161516979</v>
      </c>
      <c r="X66" s="3">
        <f>(W66-T66)-SUM(X16:X65)</f>
        <v>26526.551852419972</v>
      </c>
    </row>
    <row r="67" spans="1:24" ht="14.5" x14ac:dyDescent="0.35">
      <c r="A67" s="1">
        <v>56</v>
      </c>
      <c r="B67" s="3">
        <v>978691.3693768644</v>
      </c>
      <c r="C67" s="3">
        <v>31512.283924912379</v>
      </c>
      <c r="E67" s="1">
        <v>56</v>
      </c>
      <c r="F67" s="3">
        <f t="shared" si="15"/>
        <v>3960926.9878277518</v>
      </c>
      <c r="G67" s="3">
        <f t="shared" si="17"/>
        <v>1650.3862449282301</v>
      </c>
      <c r="H67" s="3">
        <f t="shared" si="3"/>
        <v>1650.3862449282301</v>
      </c>
      <c r="I67" s="3">
        <v>0</v>
      </c>
      <c r="J67" s="3">
        <f t="shared" si="4"/>
        <v>29861.897679984148</v>
      </c>
      <c r="K67" s="3">
        <f t="shared" si="18"/>
        <v>9902.3174695693797</v>
      </c>
      <c r="L67" s="3">
        <f t="shared" si="5"/>
        <v>29861.897679984148</v>
      </c>
      <c r="M67" s="3">
        <f t="shared" si="6"/>
        <v>9902.3174695693797</v>
      </c>
      <c r="N67" s="3">
        <f t="shared" si="7"/>
        <v>0</v>
      </c>
      <c r="O67" s="3">
        <f t="shared" si="8"/>
        <v>19959.580210414766</v>
      </c>
      <c r="P67" s="3">
        <f t="shared" si="9"/>
        <v>978691.3693768644</v>
      </c>
      <c r="Q67" s="3">
        <f t="shared" si="10"/>
        <v>978691.3693768644</v>
      </c>
      <c r="R67" s="3">
        <f t="shared" si="11"/>
        <v>2982235.6184508875</v>
      </c>
      <c r="S67" s="3">
        <f t="shared" si="16"/>
        <v>53132770.161516979</v>
      </c>
      <c r="T67" s="3">
        <v>10000000</v>
      </c>
      <c r="U67" s="3">
        <f t="shared" si="12"/>
        <v>19959.580210414766</v>
      </c>
      <c r="V67" s="3">
        <f t="shared" si="13"/>
        <v>19959.580210414766</v>
      </c>
      <c r="W67" s="3">
        <f t="shared" si="14"/>
        <v>53152729.741727397</v>
      </c>
      <c r="X67" s="3">
        <f>(W67-T67)-SUM(X16:X66)</f>
        <v>19959.580210417509</v>
      </c>
    </row>
    <row r="68" spans="1:24" ht="14.5" x14ac:dyDescent="0.35">
      <c r="A68" s="1">
        <v>57</v>
      </c>
      <c r="B68" s="3">
        <v>687600.4717601788</v>
      </c>
      <c r="C68" s="3">
        <v>23794.813319818048</v>
      </c>
      <c r="E68" s="1">
        <v>57</v>
      </c>
      <c r="F68" s="3">
        <f t="shared" si="15"/>
        <v>2982235.6184508875</v>
      </c>
      <c r="G68" s="3">
        <f t="shared" si="17"/>
        <v>1242.5981743545365</v>
      </c>
      <c r="H68" s="3">
        <f t="shared" si="3"/>
        <v>1242.5981743545365</v>
      </c>
      <c r="I68" s="3">
        <v>0</v>
      </c>
      <c r="J68" s="3">
        <f t="shared" si="4"/>
        <v>22552.21514546351</v>
      </c>
      <c r="K68" s="3">
        <f t="shared" si="18"/>
        <v>7455.5890461272193</v>
      </c>
      <c r="L68" s="3">
        <f t="shared" si="5"/>
        <v>22552.21514546351</v>
      </c>
      <c r="M68" s="3">
        <f t="shared" si="6"/>
        <v>7455.5890461272193</v>
      </c>
      <c r="N68" s="3">
        <f t="shared" si="7"/>
        <v>0</v>
      </c>
      <c r="O68" s="3">
        <f t="shared" si="8"/>
        <v>15096.62609933629</v>
      </c>
      <c r="P68" s="3">
        <f t="shared" si="9"/>
        <v>687600.4717601788</v>
      </c>
      <c r="Q68" s="3">
        <f t="shared" si="10"/>
        <v>687600.4717601788</v>
      </c>
      <c r="R68" s="3">
        <f t="shared" si="11"/>
        <v>2294635.1466907086</v>
      </c>
      <c r="S68" s="3">
        <f t="shared" si="16"/>
        <v>53152729.741727397</v>
      </c>
      <c r="T68" s="3">
        <v>10000000</v>
      </c>
      <c r="U68" s="3">
        <f t="shared" si="12"/>
        <v>15096.62609933629</v>
      </c>
      <c r="V68" s="3">
        <f t="shared" si="13"/>
        <v>15096.62609933629</v>
      </c>
      <c r="W68" s="3">
        <f t="shared" si="14"/>
        <v>53167826.36782673</v>
      </c>
      <c r="X68" s="3">
        <f>(W68-T68)-SUM(X16:X67)</f>
        <v>15096.626099333167</v>
      </c>
    </row>
    <row r="69" spans="1:24" ht="14.5" x14ac:dyDescent="0.35">
      <c r="A69" s="1">
        <v>58</v>
      </c>
      <c r="B69" s="3">
        <v>468027.64385891159</v>
      </c>
      <c r="C69" s="3">
        <v>18341.636805033049</v>
      </c>
      <c r="E69" s="1">
        <v>58</v>
      </c>
      <c r="F69" s="3">
        <f t="shared" si="15"/>
        <v>2294635.1466907086</v>
      </c>
      <c r="G69" s="3">
        <f t="shared" si="17"/>
        <v>956.09797778779534</v>
      </c>
      <c r="H69" s="3">
        <f t="shared" si="3"/>
        <v>956.09797778779534</v>
      </c>
      <c r="I69" s="3">
        <v>0</v>
      </c>
      <c r="J69" s="3">
        <f t="shared" si="4"/>
        <v>17385.538827245255</v>
      </c>
      <c r="K69" s="3">
        <f t="shared" si="18"/>
        <v>5736.5878667267716</v>
      </c>
      <c r="L69" s="3">
        <f t="shared" si="5"/>
        <v>17385.538827245255</v>
      </c>
      <c r="M69" s="3">
        <f t="shared" si="6"/>
        <v>5736.5878667267716</v>
      </c>
      <c r="N69" s="3">
        <f t="shared" si="7"/>
        <v>0</v>
      </c>
      <c r="O69" s="3">
        <f t="shared" si="8"/>
        <v>11648.950960518483</v>
      </c>
      <c r="P69" s="3">
        <f t="shared" si="9"/>
        <v>468027.64385891159</v>
      </c>
      <c r="Q69" s="3">
        <f t="shared" si="10"/>
        <v>468027.64385891159</v>
      </c>
      <c r="R69" s="3">
        <f t="shared" si="11"/>
        <v>1826607.5028317971</v>
      </c>
      <c r="S69" s="3">
        <f t="shared" si="16"/>
        <v>53167826.36782673</v>
      </c>
      <c r="T69" s="3">
        <v>10000000</v>
      </c>
      <c r="U69" s="3">
        <f t="shared" si="12"/>
        <v>11648.950960518483</v>
      </c>
      <c r="V69" s="3">
        <f t="shared" si="13"/>
        <v>11648.950960518483</v>
      </c>
      <c r="W69" s="3">
        <f t="shared" si="14"/>
        <v>53179475.318787247</v>
      </c>
      <c r="X69" s="3">
        <f>(W69-T69)-SUM(X16:X68)</f>
        <v>11648.95096051693</v>
      </c>
    </row>
    <row r="70" spans="1:24" ht="14.5" x14ac:dyDescent="0.35">
      <c r="A70" s="1">
        <v>59</v>
      </c>
      <c r="B70" s="3">
        <v>374160.54434103268</v>
      </c>
      <c r="C70" s="3">
        <v>14602.806333878654</v>
      </c>
      <c r="E70" s="1">
        <v>59</v>
      </c>
      <c r="F70" s="3">
        <f t="shared" si="15"/>
        <v>1826607.5028317971</v>
      </c>
      <c r="G70" s="3">
        <f t="shared" si="17"/>
        <v>761.08645951324888</v>
      </c>
      <c r="H70" s="3">
        <f t="shared" si="3"/>
        <v>761.08645951324888</v>
      </c>
      <c r="I70" s="3">
        <v>0</v>
      </c>
      <c r="J70" s="3">
        <f t="shared" si="4"/>
        <v>13841.719874365404</v>
      </c>
      <c r="K70" s="3">
        <f t="shared" si="18"/>
        <v>4566.5187570794933</v>
      </c>
      <c r="L70" s="3">
        <f t="shared" si="5"/>
        <v>13841.719874365404</v>
      </c>
      <c r="M70" s="3">
        <f t="shared" si="6"/>
        <v>4566.5187570794933</v>
      </c>
      <c r="N70" s="3">
        <f t="shared" si="7"/>
        <v>0</v>
      </c>
      <c r="O70" s="3">
        <f t="shared" si="8"/>
        <v>9275.2011172859111</v>
      </c>
      <c r="P70" s="3">
        <f t="shared" si="9"/>
        <v>374160.54434103268</v>
      </c>
      <c r="Q70" s="3">
        <f t="shared" si="10"/>
        <v>374160.54434103268</v>
      </c>
      <c r="R70" s="3">
        <f t="shared" si="11"/>
        <v>1452446.9584907645</v>
      </c>
      <c r="S70" s="3">
        <f t="shared" si="16"/>
        <v>53179475.318787247</v>
      </c>
      <c r="T70" s="3">
        <v>10000000</v>
      </c>
      <c r="U70" s="3">
        <f t="shared" si="12"/>
        <v>9275.2011172859111</v>
      </c>
      <c r="V70" s="3">
        <f t="shared" si="13"/>
        <v>9275.2011172859111</v>
      </c>
      <c r="W70" s="3">
        <f t="shared" si="14"/>
        <v>53188750.519904532</v>
      </c>
      <c r="X70" s="3">
        <f>(W70-T70)-SUM(X16:X69)</f>
        <v>9275.201117284596</v>
      </c>
    </row>
    <row r="71" spans="1:24" ht="14.5" x14ac:dyDescent="0.35">
      <c r="A71" s="1">
        <v>60</v>
      </c>
      <c r="B71" s="3">
        <v>329252.67582841899</v>
      </c>
      <c r="C71" s="3">
        <v>11600.130788790873</v>
      </c>
      <c r="E71" s="1">
        <v>60</v>
      </c>
      <c r="F71" s="3">
        <f t="shared" si="15"/>
        <v>1452446.9584907645</v>
      </c>
      <c r="G71" s="3">
        <f t="shared" si="17"/>
        <v>605.18623270448529</v>
      </c>
      <c r="H71" s="3">
        <f t="shared" si="3"/>
        <v>605.18623270448529</v>
      </c>
      <c r="I71" s="3">
        <v>0</v>
      </c>
      <c r="J71" s="3">
        <f t="shared" si="4"/>
        <v>10994.944556086388</v>
      </c>
      <c r="K71" s="3">
        <f t="shared" si="18"/>
        <v>3631.1173962269113</v>
      </c>
      <c r="L71" s="3">
        <f t="shared" si="5"/>
        <v>10994.944556086388</v>
      </c>
      <c r="M71" s="3">
        <f t="shared" si="6"/>
        <v>3631.1173962269113</v>
      </c>
      <c r="N71" s="3">
        <f t="shared" si="7"/>
        <v>0</v>
      </c>
      <c r="O71" s="3">
        <f t="shared" si="8"/>
        <v>7363.8271598594765</v>
      </c>
      <c r="P71" s="3">
        <f t="shared" si="9"/>
        <v>329252.67582841899</v>
      </c>
      <c r="Q71" s="3">
        <f t="shared" si="10"/>
        <v>329252.67582841899</v>
      </c>
      <c r="R71" s="3">
        <f t="shared" si="11"/>
        <v>1123194.2826623456</v>
      </c>
      <c r="S71" s="3">
        <f t="shared" si="16"/>
        <v>53188750.519904532</v>
      </c>
      <c r="T71" s="3">
        <v>10000000</v>
      </c>
      <c r="U71" s="3">
        <f t="shared" si="12"/>
        <v>7363.8271598594765</v>
      </c>
      <c r="V71" s="3">
        <f t="shared" si="13"/>
        <v>7363.8271598594765</v>
      </c>
      <c r="W71" s="3">
        <f t="shared" si="14"/>
        <v>53196114.347064391</v>
      </c>
      <c r="X71" s="3">
        <f>(W71-T71)-SUM(X16:X70)</f>
        <v>7363.8271598592401</v>
      </c>
    </row>
    <row r="72" spans="1:24" ht="14.5" x14ac:dyDescent="0.35">
      <c r="A72" s="1">
        <v>61</v>
      </c>
      <c r="B72" s="3">
        <v>271624.11532763595</v>
      </c>
      <c r="C72" s="3">
        <v>8959.7981482051055</v>
      </c>
      <c r="E72" s="1">
        <v>61</v>
      </c>
      <c r="F72" s="3">
        <f t="shared" si="15"/>
        <v>1123194.2826623456</v>
      </c>
      <c r="G72" s="3">
        <f t="shared" si="17"/>
        <v>467.99761777597735</v>
      </c>
      <c r="H72" s="3">
        <f t="shared" si="3"/>
        <v>467.99761777597735</v>
      </c>
      <c r="I72" s="3">
        <v>0</v>
      </c>
      <c r="J72" s="3">
        <f t="shared" si="4"/>
        <v>8491.8005304291273</v>
      </c>
      <c r="K72" s="3">
        <f t="shared" si="18"/>
        <v>2807.9857066558639</v>
      </c>
      <c r="L72" s="3">
        <f t="shared" si="5"/>
        <v>8491.8005304291273</v>
      </c>
      <c r="M72" s="3">
        <f t="shared" si="6"/>
        <v>2807.9857066558639</v>
      </c>
      <c r="N72" s="3">
        <f t="shared" si="7"/>
        <v>0</v>
      </c>
      <c r="O72" s="3">
        <f t="shared" si="8"/>
        <v>5683.8148237732639</v>
      </c>
      <c r="P72" s="3">
        <f t="shared" si="9"/>
        <v>271624.11532763595</v>
      </c>
      <c r="Q72" s="3">
        <f t="shared" si="10"/>
        <v>271624.11532763595</v>
      </c>
      <c r="R72" s="3">
        <f t="shared" si="11"/>
        <v>851570.16733470955</v>
      </c>
      <c r="S72" s="3">
        <f t="shared" si="16"/>
        <v>53196114.347064391</v>
      </c>
      <c r="T72" s="3">
        <v>10000000</v>
      </c>
      <c r="U72" s="3">
        <f t="shared" si="12"/>
        <v>5683.8148237732639</v>
      </c>
      <c r="V72" s="3">
        <f t="shared" si="13"/>
        <v>5683.8148237732639</v>
      </c>
      <c r="W72" s="3">
        <f t="shared" si="14"/>
        <v>53201798.161888167</v>
      </c>
      <c r="X72" s="3">
        <f>(W72-T72)-SUM(X16:X71)</f>
        <v>5683.8148237764835</v>
      </c>
    </row>
    <row r="73" spans="1:24" ht="14.5" x14ac:dyDescent="0.35">
      <c r="A73" s="1">
        <v>62</v>
      </c>
      <c r="B73" s="3">
        <v>218758.10318040257</v>
      </c>
      <c r="C73" s="3">
        <v>6788.6949856167339</v>
      </c>
      <c r="E73" s="1">
        <v>62</v>
      </c>
      <c r="F73" s="3">
        <f t="shared" si="15"/>
        <v>851570.16733470955</v>
      </c>
      <c r="G73" s="3">
        <f t="shared" si="17"/>
        <v>354.820903056129</v>
      </c>
      <c r="H73" s="3">
        <f t="shared" si="3"/>
        <v>354.820903056129</v>
      </c>
      <c r="I73" s="3">
        <v>0</v>
      </c>
      <c r="J73" s="3">
        <f t="shared" si="4"/>
        <v>6433.8740825606046</v>
      </c>
      <c r="K73" s="3">
        <f t="shared" si="18"/>
        <v>2128.9254183367739</v>
      </c>
      <c r="L73" s="3">
        <f t="shared" si="5"/>
        <v>6433.8740825606046</v>
      </c>
      <c r="M73" s="3">
        <f t="shared" si="6"/>
        <v>2128.9254183367739</v>
      </c>
      <c r="N73" s="3">
        <f t="shared" si="7"/>
        <v>0</v>
      </c>
      <c r="O73" s="3">
        <f t="shared" si="8"/>
        <v>4304.9486642238307</v>
      </c>
      <c r="P73" s="3">
        <f t="shared" si="9"/>
        <v>218758.10318040257</v>
      </c>
      <c r="Q73" s="3">
        <f t="shared" si="10"/>
        <v>218758.10318040257</v>
      </c>
      <c r="R73" s="3">
        <f t="shared" si="11"/>
        <v>632812.06415430701</v>
      </c>
      <c r="S73" s="3">
        <f t="shared" si="16"/>
        <v>53201798.161888167</v>
      </c>
      <c r="T73" s="3">
        <v>10000000</v>
      </c>
      <c r="U73" s="3">
        <f t="shared" si="12"/>
        <v>4304.9486642238307</v>
      </c>
      <c r="V73" s="3">
        <f t="shared" si="13"/>
        <v>4304.9486642238307</v>
      </c>
      <c r="W73" s="3">
        <f t="shared" si="14"/>
        <v>53206103.110552393</v>
      </c>
      <c r="X73" s="3">
        <f>(W73-T73)-SUM(X16:X72)</f>
        <v>4304.9486642256379</v>
      </c>
    </row>
    <row r="74" spans="1:24" ht="14.5" x14ac:dyDescent="0.35">
      <c r="A74" s="1">
        <v>63</v>
      </c>
      <c r="B74" s="3">
        <v>171441.893966195</v>
      </c>
      <c r="C74" s="3">
        <v>5042.2757032417248</v>
      </c>
      <c r="E74" s="1">
        <v>63</v>
      </c>
      <c r="F74" s="3">
        <f t="shared" si="15"/>
        <v>632812.06415430701</v>
      </c>
      <c r="G74" s="3">
        <f t="shared" si="17"/>
        <v>263.67169339762796</v>
      </c>
      <c r="H74" s="3">
        <f t="shared" si="3"/>
        <v>263.67169339762796</v>
      </c>
      <c r="I74" s="3">
        <v>0</v>
      </c>
      <c r="J74" s="3">
        <f t="shared" si="4"/>
        <v>4778.6040098440972</v>
      </c>
      <c r="K74" s="3">
        <f t="shared" si="18"/>
        <v>1582.0301603857677</v>
      </c>
      <c r="L74" s="3">
        <f t="shared" si="5"/>
        <v>4778.6040098440972</v>
      </c>
      <c r="M74" s="3">
        <f t="shared" si="6"/>
        <v>1582.0301603857677</v>
      </c>
      <c r="N74" s="3">
        <f t="shared" si="7"/>
        <v>0</v>
      </c>
      <c r="O74" s="3">
        <f t="shared" si="8"/>
        <v>3196.5738494583293</v>
      </c>
      <c r="P74" s="3">
        <f t="shared" si="9"/>
        <v>171441.893966195</v>
      </c>
      <c r="Q74" s="3">
        <f t="shared" si="10"/>
        <v>171441.893966195</v>
      </c>
      <c r="R74" s="3">
        <f t="shared" si="11"/>
        <v>461370.17018811201</v>
      </c>
      <c r="S74" s="3">
        <f t="shared" si="16"/>
        <v>53206103.110552393</v>
      </c>
      <c r="T74" s="3">
        <v>10000000</v>
      </c>
      <c r="U74" s="3">
        <f t="shared" si="12"/>
        <v>3196.5738494583293</v>
      </c>
      <c r="V74" s="3">
        <f t="shared" si="13"/>
        <v>3196.5738494583293</v>
      </c>
      <c r="W74" s="3">
        <f t="shared" si="14"/>
        <v>53209299.684401855</v>
      </c>
      <c r="X74" s="3">
        <f>(W74-T74)-SUM(X16:X73)</f>
        <v>3196.5738494619727</v>
      </c>
    </row>
    <row r="75" spans="1:24" ht="14.5" x14ac:dyDescent="0.35">
      <c r="A75" s="1">
        <v>64</v>
      </c>
      <c r="B75" s="3">
        <v>132782.30105384893</v>
      </c>
      <c r="C75" s="3">
        <v>3677.8749209337811</v>
      </c>
      <c r="E75" s="1">
        <v>64</v>
      </c>
      <c r="F75" s="3">
        <f t="shared" si="15"/>
        <v>461370.17018811201</v>
      </c>
      <c r="G75" s="3">
        <f t="shared" si="17"/>
        <v>192.23757091171336</v>
      </c>
      <c r="H75" s="3">
        <f t="shared" si="3"/>
        <v>192.23757091171336</v>
      </c>
      <c r="I75" s="3">
        <v>0</v>
      </c>
      <c r="J75" s="3">
        <f t="shared" si="4"/>
        <v>3485.6373500220679</v>
      </c>
      <c r="K75" s="3">
        <f t="shared" si="18"/>
        <v>1153.4254254702801</v>
      </c>
      <c r="L75" s="3">
        <f t="shared" si="5"/>
        <v>3485.6373500220679</v>
      </c>
      <c r="M75" s="3">
        <f t="shared" si="6"/>
        <v>1153.4254254702801</v>
      </c>
      <c r="N75" s="3">
        <f t="shared" si="7"/>
        <v>0</v>
      </c>
      <c r="O75" s="3">
        <f t="shared" si="8"/>
        <v>2332.2119245517879</v>
      </c>
      <c r="P75" s="3">
        <f t="shared" si="9"/>
        <v>132782.30105384893</v>
      </c>
      <c r="Q75" s="3">
        <f t="shared" si="10"/>
        <v>132782.30105384893</v>
      </c>
      <c r="R75" s="3">
        <f t="shared" si="11"/>
        <v>328587.86913426308</v>
      </c>
      <c r="S75" s="3">
        <f t="shared" si="16"/>
        <v>53209299.684401855</v>
      </c>
      <c r="T75" s="3">
        <v>10000000</v>
      </c>
      <c r="U75" s="3">
        <f t="shared" si="12"/>
        <v>2332.2119245517879</v>
      </c>
      <c r="V75" s="3">
        <f t="shared" si="13"/>
        <v>2332.2119245517879</v>
      </c>
      <c r="W75" s="3">
        <f t="shared" si="14"/>
        <v>53211631.896326408</v>
      </c>
      <c r="X75" s="3">
        <f>(W75-T75)-SUM(X16:X74)</f>
        <v>2332.2119245529175</v>
      </c>
    </row>
    <row r="76" spans="1:24" ht="14.5" x14ac:dyDescent="0.35">
      <c r="A76" s="1">
        <v>65</v>
      </c>
      <c r="B76" s="3">
        <v>108597.33382044018</v>
      </c>
      <c r="C76" s="3">
        <v>2617.6794248079318</v>
      </c>
      <c r="E76" s="1">
        <v>65</v>
      </c>
      <c r="F76" s="3">
        <f t="shared" si="15"/>
        <v>328587.86913426308</v>
      </c>
      <c r="G76" s="3">
        <f t="shared" ref="G76:G107" si="19">F76*(ServicingFee/12)</f>
        <v>136.91161213927629</v>
      </c>
      <c r="H76" s="3">
        <f t="shared" si="3"/>
        <v>136.91161213927629</v>
      </c>
      <c r="I76" s="3">
        <v>0</v>
      </c>
      <c r="J76" s="3">
        <f t="shared" si="4"/>
        <v>2480.7678126686556</v>
      </c>
      <c r="K76" s="3">
        <f t="shared" ref="K76:K81" si="20">F76*(Coupon/12)</f>
        <v>821.46967283565766</v>
      </c>
      <c r="L76" s="3">
        <f t="shared" si="5"/>
        <v>2480.7678126686556</v>
      </c>
      <c r="M76" s="3">
        <f t="shared" si="6"/>
        <v>821.46967283565766</v>
      </c>
      <c r="N76" s="3">
        <f t="shared" si="7"/>
        <v>0</v>
      </c>
      <c r="O76" s="3">
        <f t="shared" si="8"/>
        <v>1659.298139832998</v>
      </c>
      <c r="P76" s="3">
        <f t="shared" si="9"/>
        <v>108597.33382044018</v>
      </c>
      <c r="Q76" s="3">
        <f t="shared" si="10"/>
        <v>108597.33382044018</v>
      </c>
      <c r="R76" s="3">
        <f t="shared" si="11"/>
        <v>219990.53531382291</v>
      </c>
      <c r="S76" s="3">
        <f t="shared" si="16"/>
        <v>53211631.896326408</v>
      </c>
      <c r="T76" s="3">
        <v>10000000</v>
      </c>
      <c r="U76" s="3">
        <f t="shared" si="12"/>
        <v>1659.298139832998</v>
      </c>
      <c r="V76" s="3">
        <f t="shared" si="13"/>
        <v>1659.298139832998</v>
      </c>
      <c r="W76" s="3">
        <f t="shared" si="14"/>
        <v>53213291.194466241</v>
      </c>
      <c r="X76" s="3">
        <f>(W76-T76)-SUM(X16:X75)</f>
        <v>1659.2981398329139</v>
      </c>
    </row>
    <row r="77" spans="1:24" ht="14.5" x14ac:dyDescent="0.35">
      <c r="A77" s="1">
        <v>66</v>
      </c>
      <c r="B77" s="3">
        <v>87528.077248558038</v>
      </c>
      <c r="C77" s="3">
        <v>1750.3881596972008</v>
      </c>
      <c r="E77" s="1">
        <v>66</v>
      </c>
      <c r="F77" s="3">
        <f t="shared" si="15"/>
        <v>219990.53531382291</v>
      </c>
      <c r="G77" s="3">
        <f t="shared" si="19"/>
        <v>91.662723047426212</v>
      </c>
      <c r="H77" s="3">
        <f t="shared" ref="H77:H81" si="21">MIN(G77,C77)</f>
        <v>91.662723047426212</v>
      </c>
      <c r="I77" s="3">
        <v>0</v>
      </c>
      <c r="J77" s="3">
        <f t="shared" ref="J77:J81" si="22">C77-G77</f>
        <v>1658.7254366497746</v>
      </c>
      <c r="K77" s="3">
        <f t="shared" si="20"/>
        <v>549.9763382845573</v>
      </c>
      <c r="L77" s="3">
        <f t="shared" ref="L77:L81" si="23">J77</f>
        <v>1658.7254366497746</v>
      </c>
      <c r="M77" s="3">
        <f t="shared" ref="M77:M81" si="24">MIN(K77,L77)</f>
        <v>549.9763382845573</v>
      </c>
      <c r="N77" s="3">
        <f t="shared" ref="N77:N81" si="25">K77-M77</f>
        <v>0</v>
      </c>
      <c r="O77" s="3">
        <f t="shared" ref="O77:O81" si="26">L77-M77</f>
        <v>1108.7490983652174</v>
      </c>
      <c r="P77" s="3">
        <f t="shared" ref="P77:P81" si="27">B77</f>
        <v>87528.077248558038</v>
      </c>
      <c r="Q77" s="3">
        <f t="shared" ref="Q77:Q81" si="28">P77</f>
        <v>87528.077248558038</v>
      </c>
      <c r="R77" s="3">
        <f t="shared" ref="R77:R81" si="29">F77-Q77</f>
        <v>132462.45806526486</v>
      </c>
      <c r="S77" s="3">
        <f t="shared" si="16"/>
        <v>53213291.194466241</v>
      </c>
      <c r="T77" s="3">
        <v>10000000</v>
      </c>
      <c r="U77" s="3">
        <f t="shared" ref="U77:U81" si="30">O77</f>
        <v>1108.7490983652174</v>
      </c>
      <c r="V77" s="3">
        <f t="shared" ref="V77:V81" si="31">MAX(0,C77-H77-K77)</f>
        <v>1108.7490983652174</v>
      </c>
      <c r="W77" s="3">
        <f t="shared" ref="W77:W81" si="32">S77+U77</f>
        <v>53214399.943564609</v>
      </c>
      <c r="X77" s="3">
        <f>(W77-T77)-SUM(X16:X76)</f>
        <v>1108.7490983679891</v>
      </c>
    </row>
    <row r="78" spans="1:24" ht="14.5" x14ac:dyDescent="0.35">
      <c r="A78" s="1">
        <v>67</v>
      </c>
      <c r="B78" s="3">
        <v>65120.989692339288</v>
      </c>
      <c r="C78" s="3">
        <v>1053.6564484482974</v>
      </c>
      <c r="E78" s="1">
        <v>67</v>
      </c>
      <c r="F78" s="3">
        <f t="shared" ref="F78:F81" si="33">R77</f>
        <v>132462.45806526486</v>
      </c>
      <c r="G78" s="3">
        <f t="shared" si="19"/>
        <v>55.19269086052703</v>
      </c>
      <c r="H78" s="3">
        <f t="shared" si="21"/>
        <v>55.19269086052703</v>
      </c>
      <c r="I78" s="3">
        <v>0</v>
      </c>
      <c r="J78" s="3">
        <f t="shared" si="22"/>
        <v>998.46375758777037</v>
      </c>
      <c r="K78" s="3">
        <f t="shared" si="20"/>
        <v>331.15614516316214</v>
      </c>
      <c r="L78" s="3">
        <f t="shared" si="23"/>
        <v>998.46375758777037</v>
      </c>
      <c r="M78" s="3">
        <f t="shared" si="24"/>
        <v>331.15614516316214</v>
      </c>
      <c r="N78" s="3">
        <f t="shared" si="25"/>
        <v>0</v>
      </c>
      <c r="O78" s="3">
        <f t="shared" si="26"/>
        <v>667.30761242460824</v>
      </c>
      <c r="P78" s="3">
        <f t="shared" si="27"/>
        <v>65120.989692339288</v>
      </c>
      <c r="Q78" s="3">
        <f t="shared" si="28"/>
        <v>65120.989692339288</v>
      </c>
      <c r="R78" s="3">
        <f t="shared" si="29"/>
        <v>67341.468372925563</v>
      </c>
      <c r="S78" s="3">
        <f t="shared" ref="S78:S81" si="34">W77</f>
        <v>53214399.943564609</v>
      </c>
      <c r="T78" s="3">
        <v>10000000</v>
      </c>
      <c r="U78" s="3">
        <f t="shared" si="30"/>
        <v>667.30761242460824</v>
      </c>
      <c r="V78" s="3">
        <f t="shared" si="31"/>
        <v>667.30761242460824</v>
      </c>
      <c r="W78" s="3">
        <f t="shared" si="32"/>
        <v>53215067.251177035</v>
      </c>
      <c r="X78" s="3">
        <f>(W78-T78)-SUM(X16:X77)</f>
        <v>667.307612426579</v>
      </c>
    </row>
    <row r="79" spans="1:24" ht="14.5" x14ac:dyDescent="0.35">
      <c r="A79" s="1">
        <v>68</v>
      </c>
      <c r="B79" s="3">
        <v>42627.816141845105</v>
      </c>
      <c r="C79" s="3">
        <v>535.11552186743381</v>
      </c>
      <c r="E79" s="1">
        <v>68</v>
      </c>
      <c r="F79" s="3">
        <f t="shared" si="33"/>
        <v>67341.468372925563</v>
      </c>
      <c r="G79" s="3">
        <f t="shared" si="19"/>
        <v>28.058945155385654</v>
      </c>
      <c r="H79" s="3">
        <f t="shared" si="21"/>
        <v>28.058945155385654</v>
      </c>
      <c r="I79" s="3">
        <v>0</v>
      </c>
      <c r="J79" s="3">
        <f t="shared" si="22"/>
        <v>507.05657671204818</v>
      </c>
      <c r="K79" s="3">
        <f t="shared" si="20"/>
        <v>168.35367093231392</v>
      </c>
      <c r="L79" s="3">
        <f t="shared" si="23"/>
        <v>507.05657671204818</v>
      </c>
      <c r="M79" s="3">
        <f t="shared" si="24"/>
        <v>168.35367093231392</v>
      </c>
      <c r="N79" s="3">
        <f t="shared" si="25"/>
        <v>0</v>
      </c>
      <c r="O79" s="3">
        <f t="shared" si="26"/>
        <v>338.70290577973424</v>
      </c>
      <c r="P79" s="3">
        <f t="shared" si="27"/>
        <v>42627.816141845105</v>
      </c>
      <c r="Q79" s="3">
        <f t="shared" si="28"/>
        <v>42627.816141845105</v>
      </c>
      <c r="R79" s="3">
        <f t="shared" si="29"/>
        <v>24713.652231080458</v>
      </c>
      <c r="S79" s="3">
        <f t="shared" si="34"/>
        <v>53215067.251177035</v>
      </c>
      <c r="T79" s="3">
        <v>10000000</v>
      </c>
      <c r="U79" s="3">
        <f t="shared" si="30"/>
        <v>338.70290577973424</v>
      </c>
      <c r="V79" s="3">
        <f t="shared" si="31"/>
        <v>338.70290577973424</v>
      </c>
      <c r="W79" s="3">
        <f t="shared" si="32"/>
        <v>53215405.954082817</v>
      </c>
      <c r="X79" s="3">
        <f>(W79-T79)-SUM(X16:X78)</f>
        <v>338.7029057815671</v>
      </c>
    </row>
    <row r="80" spans="1:24" ht="14.5" x14ac:dyDescent="0.35">
      <c r="A80" s="1">
        <v>69</v>
      </c>
      <c r="B80" s="3">
        <v>20412.397480160595</v>
      </c>
      <c r="C80" s="3">
        <v>197.76989703804941</v>
      </c>
      <c r="E80" s="1">
        <v>69</v>
      </c>
      <c r="F80" s="3">
        <f t="shared" si="33"/>
        <v>24713.652231080458</v>
      </c>
      <c r="G80" s="3">
        <f t="shared" si="19"/>
        <v>10.297355096283525</v>
      </c>
      <c r="H80" s="3">
        <f t="shared" si="21"/>
        <v>10.297355096283525</v>
      </c>
      <c r="I80" s="3">
        <v>0</v>
      </c>
      <c r="J80" s="3">
        <f t="shared" si="22"/>
        <v>187.47254194176588</v>
      </c>
      <c r="K80" s="3">
        <f t="shared" si="20"/>
        <v>61.784130577701148</v>
      </c>
      <c r="L80" s="3">
        <f t="shared" si="23"/>
        <v>187.47254194176588</v>
      </c>
      <c r="M80" s="3">
        <f t="shared" si="24"/>
        <v>61.784130577701148</v>
      </c>
      <c r="N80" s="3">
        <f t="shared" si="25"/>
        <v>0</v>
      </c>
      <c r="O80" s="3">
        <f t="shared" si="26"/>
        <v>125.68841136406473</v>
      </c>
      <c r="P80" s="3">
        <f t="shared" si="27"/>
        <v>20412.397480160595</v>
      </c>
      <c r="Q80" s="3">
        <f t="shared" si="28"/>
        <v>20412.397480160595</v>
      </c>
      <c r="R80" s="3">
        <f t="shared" si="29"/>
        <v>4301.254750919863</v>
      </c>
      <c r="S80" s="3">
        <f t="shared" si="34"/>
        <v>53215405.954082817</v>
      </c>
      <c r="T80" s="3">
        <v>10000000</v>
      </c>
      <c r="U80" s="3">
        <f t="shared" si="30"/>
        <v>125.68841136406473</v>
      </c>
      <c r="V80" s="3">
        <f t="shared" si="31"/>
        <v>125.68841136406473</v>
      </c>
      <c r="W80" s="3">
        <f t="shared" si="32"/>
        <v>53215531.642494179</v>
      </c>
      <c r="X80" s="3">
        <f>(W80-T80)-SUM(X16:X79)</f>
        <v>125.6884113624692</v>
      </c>
    </row>
    <row r="81" spans="1:24" ht="14.5" x14ac:dyDescent="0.35">
      <c r="A81" s="1">
        <v>70</v>
      </c>
      <c r="B81" s="3">
        <v>4301.3447515812213</v>
      </c>
      <c r="C81" s="3">
        <v>35.337195028328551</v>
      </c>
      <c r="E81" s="1">
        <v>70</v>
      </c>
      <c r="F81" s="3">
        <f t="shared" si="33"/>
        <v>4301.254750919863</v>
      </c>
      <c r="G81" s="3">
        <f t="shared" si="19"/>
        <v>1.7921894795499431</v>
      </c>
      <c r="H81" s="3">
        <f t="shared" si="21"/>
        <v>1.7921894795499431</v>
      </c>
      <c r="I81" s="3">
        <v>0</v>
      </c>
      <c r="J81" s="3">
        <f t="shared" si="22"/>
        <v>33.545005548778612</v>
      </c>
      <c r="K81" s="3">
        <f t="shared" si="20"/>
        <v>10.753136877299658</v>
      </c>
      <c r="L81" s="3">
        <f t="shared" si="23"/>
        <v>33.545005548778612</v>
      </c>
      <c r="M81" s="3">
        <f t="shared" si="24"/>
        <v>10.753136877299658</v>
      </c>
      <c r="N81" s="3">
        <f t="shared" si="25"/>
        <v>0</v>
      </c>
      <c r="O81" s="3">
        <f t="shared" si="26"/>
        <v>22.791868671478952</v>
      </c>
      <c r="P81" s="3">
        <f t="shared" si="27"/>
        <v>4301.3447515812213</v>
      </c>
      <c r="Q81" s="3">
        <f t="shared" si="28"/>
        <v>4301.3447515812213</v>
      </c>
      <c r="R81" s="3">
        <f t="shared" si="29"/>
        <v>-9.0000661358317302E-2</v>
      </c>
      <c r="S81" s="3">
        <f t="shared" si="34"/>
        <v>53215531.642494179</v>
      </c>
      <c r="T81" s="3">
        <v>10000000</v>
      </c>
      <c r="U81" s="3">
        <f t="shared" si="30"/>
        <v>22.791868671478952</v>
      </c>
      <c r="V81" s="3">
        <f t="shared" si="31"/>
        <v>22.791868671478952</v>
      </c>
      <c r="W81" s="3">
        <f t="shared" si="32"/>
        <v>53215554.434362851</v>
      </c>
      <c r="X81" s="3">
        <f>(W81-T81)-SUM(X12:X80)</f>
        <v>22.791868671774864</v>
      </c>
    </row>
  </sheetData>
  <mergeCells count="6">
    <mergeCell ref="A2:C2"/>
    <mergeCell ref="B10:C10"/>
    <mergeCell ref="S10:X10"/>
    <mergeCell ref="G10:J10"/>
    <mergeCell ref="E2:F2"/>
    <mergeCell ref="K10:R10"/>
  </mergeCells>
  <conditionalFormatting sqref="B6:B7">
    <cfRule type="cellIs" dxfId="7" priority="5" operator="greaterThan">
      <formula>0</formula>
    </cfRule>
    <cfRule type="cellIs" dxfId="6" priority="6" operator="equal">
      <formula>0</formula>
    </cfRule>
    <cfRule type="cellIs" dxfId="5" priority="7" operator="equal">
      <formula>" -   "</formula>
    </cfRule>
    <cfRule type="cellIs" dxfId="4" priority="8" operator="greaterThan">
      <formula>" -   "</formula>
    </cfRule>
  </conditionalFormatting>
  <conditionalFormatting sqref="B8">
    <cfRule type="cellIs" dxfId="3" priority="1" operator="greaterThan">
      <formula>0</formula>
    </cfRule>
    <cfRule type="cellIs" dxfId="2" priority="2" operator="equal">
      <formula>0</formula>
    </cfRule>
    <cfRule type="cellIs" dxfId="1" priority="3" operator="equal">
      <formula>" -   "</formula>
    </cfRule>
    <cfRule type="cellIs" dxfId="0" priority="4" operator="greaterThan">
      <formula>" -   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Waterfall</vt:lpstr>
      <vt:lpstr>Coupon</vt:lpstr>
      <vt:lpstr>ServicingFee</vt:lpstr>
    </vt:vector>
  </TitlesOfParts>
  <Company>Ford Motor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kwilkin7</dc:creator>
  <cp:lastModifiedBy>Joseph Palo</cp:lastModifiedBy>
  <dcterms:created xsi:type="dcterms:W3CDTF">2003-10-28T23:13:37Z</dcterms:created>
  <dcterms:modified xsi:type="dcterms:W3CDTF">2025-11-06T22:56:49Z</dcterms:modified>
</cp:coreProperties>
</file>
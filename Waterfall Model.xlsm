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yp\Downloads\"/>
    </mc:Choice>
  </mc:AlternateContent>
  <xr:revisionPtr revIDLastSave="0" documentId="13_ncr:1_{1AAD1ABF-77A2-42D9-9397-20B87F4D98C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Waterfall" sheetId="6" r:id="rId1"/>
  </sheets>
  <definedNames>
    <definedName name="ABSRate">Waterfall!$M$3</definedName>
    <definedName name="AmortOutput">#REF!</definedName>
    <definedName name="Coupon">Waterfall!$B$4</definedName>
    <definedName name="CouponMax">#REF!</definedName>
    <definedName name="CouponMin">#REF!</definedName>
    <definedName name="EligibleBalloon">#REF!</definedName>
    <definedName name="EligibleCoupon">#REF!</definedName>
    <definedName name="EligibleCurrBalance">#REF!</definedName>
    <definedName name="EligiblePmt">#REF!</definedName>
    <definedName name="EligibleRemTerm">#REF!</definedName>
    <definedName name="IncludeState">#REF!</definedName>
    <definedName name="LoanAmountFinanced">#REF!</definedName>
    <definedName name="LoanCoupon">#REF!</definedName>
    <definedName name="LoanNewUsed">#REF!</definedName>
    <definedName name="LoanState">#REF!</definedName>
    <definedName name="NumLoans">#REF!</definedName>
    <definedName name="Output">#REF!</definedName>
    <definedName name="ServicingFee">Waterfall!$B$5</definedName>
    <definedName name="State">#REF!</definedName>
    <definedName name="SumPrincipa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14" i="6" l="1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65" i="6"/>
  <c r="AT66" i="6"/>
  <c r="AT67" i="6"/>
  <c r="AT68" i="6"/>
  <c r="AT69" i="6"/>
  <c r="AT70" i="6"/>
  <c r="AT71" i="6"/>
  <c r="AT72" i="6"/>
  <c r="AT73" i="6"/>
  <c r="AT74" i="6"/>
  <c r="AT75" i="6"/>
  <c r="AT76" i="6"/>
  <c r="AT77" i="6"/>
  <c r="AT78" i="6"/>
  <c r="AT79" i="6"/>
  <c r="AT80" i="6"/>
  <c r="AT81" i="6"/>
  <c r="AT82" i="6"/>
  <c r="AT13" i="6"/>
  <c r="AS14" i="6"/>
  <c r="AS13" i="6"/>
  <c r="AR13" i="6"/>
  <c r="AQ14" i="6"/>
  <c r="AQ15" i="6"/>
  <c r="AQ13" i="6"/>
  <c r="AP14" i="6"/>
  <c r="AP15" i="6"/>
  <c r="AP16" i="6"/>
  <c r="AP17" i="6"/>
  <c r="AP18" i="6"/>
  <c r="AP19" i="6"/>
  <c r="AP20" i="6"/>
  <c r="AP21" i="6"/>
  <c r="AP22" i="6"/>
  <c r="AP23" i="6"/>
  <c r="AP24" i="6"/>
  <c r="AP25" i="6"/>
  <c r="AP26" i="6"/>
  <c r="AP27" i="6"/>
  <c r="AP28" i="6"/>
  <c r="AP29" i="6"/>
  <c r="AP30" i="6"/>
  <c r="AP31" i="6"/>
  <c r="AP32" i="6"/>
  <c r="AP33" i="6"/>
  <c r="AP34" i="6"/>
  <c r="AP35" i="6"/>
  <c r="AP36" i="6"/>
  <c r="AP37" i="6"/>
  <c r="AP38" i="6"/>
  <c r="AP39" i="6"/>
  <c r="AP40" i="6"/>
  <c r="AP41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P54" i="6"/>
  <c r="AP55" i="6"/>
  <c r="AP56" i="6"/>
  <c r="AP57" i="6"/>
  <c r="AP58" i="6"/>
  <c r="AP59" i="6"/>
  <c r="AP60" i="6"/>
  <c r="AP61" i="6"/>
  <c r="AP62" i="6"/>
  <c r="AP63" i="6"/>
  <c r="AP64" i="6"/>
  <c r="AP65" i="6"/>
  <c r="AP66" i="6"/>
  <c r="AP67" i="6"/>
  <c r="AP68" i="6"/>
  <c r="AP69" i="6"/>
  <c r="AP70" i="6"/>
  <c r="AP71" i="6"/>
  <c r="AP72" i="6"/>
  <c r="AP73" i="6"/>
  <c r="AP74" i="6"/>
  <c r="AP75" i="6"/>
  <c r="AP76" i="6"/>
  <c r="AP77" i="6"/>
  <c r="AP78" i="6"/>
  <c r="AP79" i="6"/>
  <c r="AP80" i="6"/>
  <c r="AP81" i="6"/>
  <c r="AP82" i="6"/>
  <c r="AP13" i="6"/>
  <c r="AO13" i="6"/>
  <c r="AM13" i="6"/>
  <c r="AL13" i="6"/>
  <c r="AK13" i="6"/>
  <c r="AJ13" i="6"/>
  <c r="AF13" i="6"/>
  <c r="Y13" i="6"/>
  <c r="X13" i="6"/>
  <c r="V13" i="6"/>
  <c r="S13" i="6"/>
  <c r="P13" i="6"/>
  <c r="O14" i="6"/>
  <c r="J14" i="6"/>
  <c r="J15" i="6" s="1"/>
  <c r="J16" i="6" s="1"/>
  <c r="J17" i="6" s="1"/>
  <c r="J18" i="6" s="1"/>
  <c r="J19" i="6" s="1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J32" i="6" s="1"/>
  <c r="J33" i="6" s="1"/>
  <c r="J34" i="6" s="1"/>
  <c r="J35" i="6" s="1"/>
  <c r="J36" i="6" s="1"/>
  <c r="J37" i="6" s="1"/>
  <c r="J38" i="6" s="1"/>
  <c r="J39" i="6" s="1"/>
  <c r="J40" i="6" s="1"/>
  <c r="J41" i="6" s="1"/>
  <c r="J42" i="6" s="1"/>
  <c r="J43" i="6" s="1"/>
  <c r="J44" i="6" s="1"/>
  <c r="J45" i="6" s="1"/>
  <c r="J46" i="6" s="1"/>
  <c r="J47" i="6" s="1"/>
  <c r="J48" i="6" s="1"/>
  <c r="J49" i="6" s="1"/>
  <c r="J50" i="6" s="1"/>
  <c r="J51" i="6" s="1"/>
  <c r="J52" i="6" s="1"/>
  <c r="J53" i="6" s="1"/>
  <c r="J54" i="6" s="1"/>
  <c r="J55" i="6" s="1"/>
  <c r="J56" i="6" s="1"/>
  <c r="J57" i="6" s="1"/>
  <c r="J58" i="6" s="1"/>
  <c r="J59" i="6" s="1"/>
  <c r="J60" i="6" s="1"/>
  <c r="J61" i="6" s="1"/>
  <c r="J62" i="6" s="1"/>
  <c r="J63" i="6" s="1"/>
  <c r="J64" i="6" s="1"/>
  <c r="J65" i="6" s="1"/>
  <c r="J66" i="6" s="1"/>
  <c r="J67" i="6" s="1"/>
  <c r="J68" i="6" s="1"/>
  <c r="J69" i="6" s="1"/>
  <c r="J70" i="6" s="1"/>
  <c r="J71" i="6" s="1"/>
  <c r="J72" i="6" s="1"/>
  <c r="J73" i="6" s="1"/>
  <c r="J74" i="6" s="1"/>
  <c r="J75" i="6" s="1"/>
  <c r="J76" i="6" s="1"/>
  <c r="J77" i="6" s="1"/>
  <c r="J78" i="6" s="1"/>
  <c r="J79" i="6" s="1"/>
  <c r="J80" i="6" s="1"/>
  <c r="J81" i="6" s="1"/>
  <c r="J82" i="6" s="1"/>
  <c r="J13" i="6"/>
  <c r="I13" i="6"/>
  <c r="F15" i="6" l="1"/>
  <c r="G15" i="6"/>
  <c r="F16" i="6"/>
  <c r="G16" i="6"/>
  <c r="F17" i="6"/>
  <c r="G17" i="6"/>
  <c r="F18" i="6"/>
  <c r="G18" i="6"/>
  <c r="F19" i="6"/>
  <c r="G19" i="6"/>
  <c r="F20" i="6"/>
  <c r="G20" i="6"/>
  <c r="F21" i="6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F30" i="6"/>
  <c r="G30" i="6"/>
  <c r="F31" i="6"/>
  <c r="G31" i="6"/>
  <c r="F32" i="6"/>
  <c r="G32" i="6"/>
  <c r="F33" i="6"/>
  <c r="G33" i="6"/>
  <c r="F34" i="6"/>
  <c r="G34" i="6"/>
  <c r="F35" i="6"/>
  <c r="G35" i="6"/>
  <c r="F36" i="6"/>
  <c r="G36" i="6"/>
  <c r="F37" i="6"/>
  <c r="G37" i="6"/>
  <c r="F38" i="6"/>
  <c r="G38" i="6"/>
  <c r="F39" i="6"/>
  <c r="G39" i="6"/>
  <c r="F40" i="6"/>
  <c r="G40" i="6"/>
  <c r="F41" i="6"/>
  <c r="G41" i="6"/>
  <c r="F42" i="6"/>
  <c r="G42" i="6"/>
  <c r="F43" i="6"/>
  <c r="G43" i="6"/>
  <c r="F44" i="6"/>
  <c r="G44" i="6"/>
  <c r="F45" i="6"/>
  <c r="G45" i="6"/>
  <c r="F46" i="6"/>
  <c r="G46" i="6"/>
  <c r="F47" i="6"/>
  <c r="G47" i="6"/>
  <c r="F48" i="6"/>
  <c r="G48" i="6"/>
  <c r="F49" i="6"/>
  <c r="G49" i="6"/>
  <c r="F50" i="6"/>
  <c r="G50" i="6"/>
  <c r="F51" i="6"/>
  <c r="G51" i="6"/>
  <c r="F52" i="6"/>
  <c r="G52" i="6"/>
  <c r="F53" i="6"/>
  <c r="G53" i="6"/>
  <c r="F54" i="6"/>
  <c r="G54" i="6"/>
  <c r="F55" i="6"/>
  <c r="G55" i="6"/>
  <c r="F56" i="6"/>
  <c r="G56" i="6"/>
  <c r="F57" i="6"/>
  <c r="G57" i="6"/>
  <c r="F58" i="6"/>
  <c r="G58" i="6"/>
  <c r="F59" i="6"/>
  <c r="G59" i="6"/>
  <c r="F60" i="6"/>
  <c r="G60" i="6"/>
  <c r="F61" i="6"/>
  <c r="G61" i="6"/>
  <c r="F62" i="6"/>
  <c r="G62" i="6"/>
  <c r="F63" i="6"/>
  <c r="G63" i="6"/>
  <c r="F64" i="6"/>
  <c r="G64" i="6"/>
  <c r="F65" i="6"/>
  <c r="G65" i="6"/>
  <c r="F66" i="6"/>
  <c r="G66" i="6"/>
  <c r="F67" i="6"/>
  <c r="G67" i="6"/>
  <c r="F68" i="6"/>
  <c r="G68" i="6"/>
  <c r="F69" i="6"/>
  <c r="G69" i="6"/>
  <c r="F70" i="6"/>
  <c r="G70" i="6"/>
  <c r="F71" i="6"/>
  <c r="G71" i="6"/>
  <c r="F72" i="6"/>
  <c r="G72" i="6"/>
  <c r="G14" i="6"/>
  <c r="F14" i="6"/>
  <c r="F9" i="6" l="1"/>
  <c r="G9" i="6"/>
  <c r="L13" i="6" l="1"/>
  <c r="K13" i="6"/>
  <c r="I15" i="6" l="1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14" i="6"/>
  <c r="K14" i="6" l="1"/>
  <c r="Y14" i="6" s="1"/>
  <c r="L14" i="6"/>
  <c r="L15" i="6" l="1"/>
  <c r="K15" i="6"/>
  <c r="Y15" i="6" s="1"/>
  <c r="L16" i="6" l="1"/>
  <c r="K16" i="6"/>
  <c r="Y16" i="6" s="1"/>
  <c r="L17" i="6" l="1"/>
  <c r="K17" i="6"/>
  <c r="Y17" i="6" s="1"/>
  <c r="K18" i="6" l="1"/>
  <c r="Y18" i="6" s="1"/>
  <c r="L18" i="6"/>
  <c r="K19" i="6" l="1"/>
  <c r="Y19" i="6" s="1"/>
  <c r="L19" i="6"/>
  <c r="K20" i="6" l="1"/>
  <c r="Y20" i="6" s="1"/>
  <c r="L20" i="6"/>
  <c r="K21" i="6" l="1"/>
  <c r="Y21" i="6" s="1"/>
  <c r="L21" i="6"/>
  <c r="K22" i="6" l="1"/>
  <c r="Y22" i="6" s="1"/>
  <c r="L22" i="6"/>
  <c r="K23" i="6" l="1"/>
  <c r="L23" i="6"/>
  <c r="Y23" i="6"/>
  <c r="K24" i="6" l="1"/>
  <c r="L24" i="6"/>
  <c r="Y24" i="6"/>
  <c r="L25" i="6" l="1"/>
  <c r="K25" i="6"/>
  <c r="Y25" i="6" s="1"/>
  <c r="K26" i="6" l="1"/>
  <c r="Y26" i="6" s="1"/>
  <c r="L26" i="6"/>
  <c r="L27" i="6" l="1"/>
  <c r="K27" i="6"/>
  <c r="Y27" i="6" s="1"/>
  <c r="L28" i="6" l="1"/>
  <c r="K28" i="6"/>
  <c r="Y28" i="6" s="1"/>
  <c r="L29" i="6" l="1"/>
  <c r="K29" i="6"/>
  <c r="Y29" i="6" s="1"/>
  <c r="K30" i="6" l="1"/>
  <c r="Y30" i="6" s="1"/>
  <c r="L30" i="6"/>
  <c r="K31" i="6" l="1"/>
  <c r="Y31" i="6" s="1"/>
  <c r="L31" i="6"/>
  <c r="K32" i="6" l="1"/>
  <c r="L32" i="6"/>
  <c r="Y32" i="6"/>
  <c r="K33" i="6" l="1"/>
  <c r="Y33" i="6" s="1"/>
  <c r="L33" i="6"/>
  <c r="K34" i="6" l="1"/>
  <c r="Y34" i="6" s="1"/>
  <c r="L34" i="6"/>
  <c r="K35" i="6" l="1"/>
  <c r="L35" i="6"/>
  <c r="Y35" i="6"/>
  <c r="K36" i="6" l="1"/>
  <c r="L36" i="6"/>
  <c r="Y36" i="6"/>
  <c r="K37" i="6" l="1"/>
  <c r="Y37" i="6" s="1"/>
  <c r="L37" i="6"/>
  <c r="K38" i="6" l="1"/>
  <c r="Y38" i="6" s="1"/>
  <c r="L38" i="6"/>
  <c r="L39" i="6" l="1"/>
  <c r="K39" i="6"/>
  <c r="Y39" i="6" s="1"/>
  <c r="L40" i="6" l="1"/>
  <c r="K40" i="6"/>
  <c r="Y40" i="6" s="1"/>
  <c r="L41" i="6" l="1"/>
  <c r="K41" i="6"/>
  <c r="Y41" i="6" s="1"/>
  <c r="K42" i="6" l="1"/>
  <c r="Y42" i="6" s="1"/>
  <c r="L42" i="6"/>
  <c r="K43" i="6" l="1"/>
  <c r="L43" i="6"/>
  <c r="Y43" i="6"/>
  <c r="K44" i="6" l="1"/>
  <c r="Y44" i="6" s="1"/>
  <c r="L44" i="6"/>
  <c r="L45" i="6" l="1"/>
  <c r="K45" i="6"/>
  <c r="Y45" i="6" s="1"/>
  <c r="K46" i="6" l="1"/>
  <c r="L46" i="6"/>
  <c r="Y46" i="6"/>
  <c r="K47" i="6" l="1"/>
  <c r="L47" i="6"/>
  <c r="Y47" i="6"/>
  <c r="K48" i="6" l="1"/>
  <c r="Y48" i="6" s="1"/>
  <c r="L48" i="6"/>
  <c r="L49" i="6" l="1"/>
  <c r="K49" i="6"/>
  <c r="Y49" i="6" s="1"/>
  <c r="L50" i="6" l="1"/>
  <c r="K50" i="6"/>
  <c r="Y50" i="6" s="1"/>
  <c r="L51" i="6" l="1"/>
  <c r="K51" i="6"/>
  <c r="Y51" i="6"/>
  <c r="L52" i="6" l="1"/>
  <c r="K52" i="6"/>
  <c r="Y52" i="6" s="1"/>
  <c r="L53" i="6" l="1"/>
  <c r="K53" i="6"/>
  <c r="Y53" i="6" s="1"/>
  <c r="K54" i="6" l="1"/>
  <c r="Y54" i="6" s="1"/>
  <c r="L54" i="6"/>
  <c r="K55" i="6" l="1"/>
  <c r="L55" i="6"/>
  <c r="Y55" i="6"/>
  <c r="K56" i="6" l="1"/>
  <c r="L56" i="6"/>
  <c r="Y56" i="6"/>
  <c r="L57" i="6" l="1"/>
  <c r="K57" i="6"/>
  <c r="Y57" i="6" s="1"/>
  <c r="K58" i="6" l="1"/>
  <c r="Y58" i="6" s="1"/>
  <c r="L58" i="6"/>
  <c r="K59" i="6" l="1"/>
  <c r="Y59" i="6" s="1"/>
  <c r="L59" i="6"/>
  <c r="K60" i="6" l="1"/>
  <c r="Y60" i="6" s="1"/>
  <c r="L60" i="6"/>
  <c r="L61" i="6" l="1"/>
  <c r="K61" i="6"/>
  <c r="Y61" i="6" s="1"/>
  <c r="L62" i="6" l="1"/>
  <c r="K62" i="6"/>
  <c r="Y62" i="6" s="1"/>
  <c r="L63" i="6" l="1"/>
  <c r="K63" i="6"/>
  <c r="Y63" i="6" s="1"/>
  <c r="L64" i="6" l="1"/>
  <c r="K64" i="6"/>
  <c r="Y64" i="6" s="1"/>
  <c r="L65" i="6" l="1"/>
  <c r="K65" i="6"/>
  <c r="Y65" i="6" s="1"/>
  <c r="K66" i="6" l="1"/>
  <c r="Y66" i="6" s="1"/>
  <c r="L66" i="6"/>
  <c r="K67" i="6" l="1"/>
  <c r="Y67" i="6" s="1"/>
  <c r="L67" i="6"/>
  <c r="K68" i="6" l="1"/>
  <c r="Y68" i="6" s="1"/>
  <c r="L68" i="6"/>
  <c r="K69" i="6" l="1"/>
  <c r="L69" i="6"/>
  <c r="Y69" i="6"/>
  <c r="L70" i="6" l="1"/>
  <c r="K70" i="6"/>
  <c r="Y70" i="6"/>
  <c r="K71" i="6" l="1"/>
  <c r="Y71" i="6" s="1"/>
  <c r="L71" i="6"/>
  <c r="K72" i="6" l="1"/>
  <c r="Y72" i="6" s="1"/>
  <c r="L72" i="6"/>
  <c r="K73" i="6" l="1"/>
  <c r="L73" i="6"/>
  <c r="Y73" i="6"/>
  <c r="K74" i="6" l="1"/>
  <c r="Y74" i="6" s="1"/>
  <c r="L74" i="6"/>
  <c r="L75" i="6" l="1"/>
  <c r="K75" i="6"/>
  <c r="Y75" i="6" s="1"/>
  <c r="L76" i="6" l="1"/>
  <c r="K76" i="6"/>
  <c r="Y76" i="6" s="1"/>
  <c r="L77" i="6" l="1"/>
  <c r="K77" i="6"/>
  <c r="Y77" i="6" s="1"/>
  <c r="K78" i="6" l="1"/>
  <c r="Y78" i="6" s="1"/>
  <c r="L78" i="6"/>
  <c r="K79" i="6" l="1"/>
  <c r="Y79" i="6" s="1"/>
  <c r="L79" i="6"/>
  <c r="K80" i="6" l="1"/>
  <c r="Y80" i="6" s="1"/>
  <c r="L80" i="6"/>
  <c r="K81" i="6" l="1"/>
  <c r="Y81" i="6" s="1"/>
  <c r="L81" i="6"/>
  <c r="K82" i="6" l="1"/>
  <c r="L82" i="6"/>
  <c r="Y82" i="6" l="1"/>
  <c r="K9" i="6"/>
  <c r="O13" i="6"/>
  <c r="Q13" i="6" l="1"/>
  <c r="U13" i="6" s="1"/>
  <c r="T13" i="6"/>
  <c r="AD13" i="6" l="1"/>
  <c r="R13" i="6"/>
  <c r="R9" i="6" s="1"/>
  <c r="B8" i="6" s="1"/>
  <c r="W13" i="6"/>
  <c r="Z13" i="6" l="1"/>
  <c r="AA13" i="6" s="1"/>
  <c r="Y9" i="6"/>
  <c r="R4" i="6" s="1"/>
  <c r="AB13" i="6" l="1"/>
  <c r="P14" i="6" l="1"/>
  <c r="Q14" i="6" s="1"/>
  <c r="S14" i="6" s="1"/>
  <c r="AC13" i="6"/>
  <c r="Z14" i="6" l="1"/>
  <c r="AA14" i="6" s="1"/>
  <c r="T14" i="6"/>
  <c r="AE13" i="6"/>
  <c r="AG13" i="6" l="1"/>
  <c r="AI13" i="6" s="1"/>
  <c r="U14" i="6"/>
  <c r="AB14" i="6"/>
  <c r="AC14" i="6" l="1"/>
  <c r="AN13" i="6"/>
  <c r="V14" i="6"/>
  <c r="W14" i="6" l="1"/>
  <c r="X14" i="6"/>
  <c r="AD14" i="6" s="1"/>
  <c r="AE14" i="6" l="1"/>
  <c r="AF14" i="6" s="1"/>
  <c r="AG14" i="6" l="1"/>
  <c r="P15" i="6" l="1"/>
  <c r="Q15" i="6" s="1"/>
  <c r="AH13" i="6"/>
  <c r="AI14" i="6"/>
  <c r="AN14" i="6" s="1"/>
  <c r="AK14" i="6"/>
  <c r="AJ14" i="6"/>
  <c r="AL14" i="6" s="1"/>
  <c r="O15" i="6" s="1"/>
  <c r="S15" i="6" l="1"/>
  <c r="T15" i="6"/>
  <c r="Z15" i="6"/>
  <c r="AM14" i="6"/>
  <c r="AO14" i="6" s="1"/>
  <c r="AR14" i="6" s="1"/>
  <c r="AA15" i="6" l="1"/>
  <c r="U15" i="6"/>
  <c r="V15" i="6" s="1"/>
  <c r="W15" i="6" l="1"/>
  <c r="X15" i="6"/>
  <c r="AB15" i="6"/>
  <c r="AC15" i="6" l="1"/>
  <c r="AD15" i="6"/>
  <c r="AE15" i="6" l="1"/>
  <c r="AG15" i="6" s="1"/>
  <c r="AF15" i="6"/>
  <c r="AH14" i="6"/>
  <c r="AI15" i="6" s="1"/>
  <c r="AN15" i="6" s="1"/>
  <c r="AK15" i="6" l="1"/>
  <c r="AM15" i="6"/>
  <c r="AO15" i="6" l="1"/>
  <c r="AH15" i="6"/>
  <c r="AJ15" i="6"/>
  <c r="AR15" i="6" l="1"/>
  <c r="AL15" i="6"/>
  <c r="O16" i="6" s="1"/>
  <c r="AS15" i="6" l="1"/>
  <c r="AM16" i="6" s="1"/>
  <c r="AH16" i="6" s="1"/>
  <c r="T16" i="6"/>
  <c r="Z16" i="6"/>
  <c r="P16" i="6"/>
  <c r="Q16" i="6" l="1"/>
  <c r="AA16" i="6"/>
  <c r="AB16" i="6" l="1"/>
  <c r="S16" i="6"/>
  <c r="U16" i="6" l="1"/>
  <c r="AC16" i="6"/>
  <c r="V16" i="6" l="1"/>
  <c r="W16" i="6" l="1"/>
  <c r="X16" i="6"/>
  <c r="AD16" i="6" l="1"/>
  <c r="AE16" i="6" l="1"/>
  <c r="AG16" i="6" s="1"/>
  <c r="AI16" i="6" l="1"/>
  <c r="AN16" i="6" s="1"/>
  <c r="AO16" i="6" s="1"/>
  <c r="AF16" i="6"/>
  <c r="AQ16" i="6" s="1"/>
  <c r="AR16" i="6" l="1"/>
  <c r="AK16" i="6"/>
  <c r="AS16" i="6" l="1"/>
  <c r="AM17" i="6"/>
  <c r="AH17" i="6" s="1"/>
  <c r="AJ16" i="6"/>
  <c r="AL16" i="6" l="1"/>
  <c r="O17" i="6" s="1"/>
  <c r="Z17" i="6" l="1"/>
  <c r="P17" i="6"/>
  <c r="T17" i="6"/>
  <c r="Q17" i="6" l="1"/>
  <c r="AA17" i="6"/>
  <c r="AB17" i="6" l="1"/>
  <c r="S17" i="6"/>
  <c r="U17" i="6" l="1"/>
  <c r="AC17" i="6"/>
  <c r="V17" i="6" l="1"/>
  <c r="W17" i="6" l="1"/>
  <c r="X17" i="6"/>
  <c r="AD17" i="6" l="1"/>
  <c r="AE17" i="6" l="1"/>
  <c r="AG17" i="6" s="1"/>
  <c r="AI17" i="6" l="1"/>
  <c r="AN17" i="6" s="1"/>
  <c r="AO17" i="6" s="1"/>
  <c r="AF17" i="6"/>
  <c r="AQ17" i="6" s="1"/>
  <c r="AR17" i="6" l="1"/>
  <c r="AS17" i="6"/>
  <c r="AM18" i="6"/>
  <c r="AH18" i="6" s="1"/>
  <c r="AK17" i="6"/>
  <c r="AJ17" i="6" s="1"/>
  <c r="AL17" i="6" l="1"/>
  <c r="O18" i="6" s="1"/>
  <c r="Z18" i="6" l="1"/>
  <c r="P18" i="6"/>
  <c r="T18" i="6"/>
  <c r="Q18" i="6" l="1"/>
  <c r="AA18" i="6"/>
  <c r="AB18" i="6" l="1"/>
  <c r="S18" i="6"/>
  <c r="U18" i="6" l="1"/>
  <c r="AC18" i="6"/>
  <c r="V18" i="6" l="1"/>
  <c r="X18" i="6" s="1"/>
  <c r="AD18" i="6" l="1"/>
  <c r="W18" i="6"/>
  <c r="AE18" i="6" l="1"/>
  <c r="AG18" i="6" s="1"/>
  <c r="AI18" i="6" l="1"/>
  <c r="AN18" i="6" s="1"/>
  <c r="AO18" i="6" s="1"/>
  <c r="AF18" i="6"/>
  <c r="AQ18" i="6" s="1"/>
  <c r="AS18" i="6" l="1"/>
  <c r="AR18" i="6"/>
  <c r="AK18" i="6"/>
  <c r="AJ18" i="6" s="1"/>
  <c r="AM19" i="6" l="1"/>
  <c r="AH19" i="6" s="1"/>
  <c r="AL18" i="6"/>
  <c r="O19" i="6" s="1"/>
  <c r="Z19" i="6" l="1"/>
  <c r="P19" i="6"/>
  <c r="T19" i="6"/>
  <c r="Q19" i="6" l="1"/>
  <c r="AA19" i="6"/>
  <c r="AB19" i="6" l="1"/>
  <c r="S19" i="6"/>
  <c r="U19" i="6" l="1"/>
  <c r="AC19" i="6"/>
  <c r="V19" i="6" l="1"/>
  <c r="X19" i="6" s="1"/>
  <c r="AD19" i="6" l="1"/>
  <c r="W19" i="6"/>
  <c r="AE19" i="6" l="1"/>
  <c r="AG19" i="6" s="1"/>
  <c r="AI19" i="6" l="1"/>
  <c r="AN19" i="6" s="1"/>
  <c r="AO19" i="6" s="1"/>
  <c r="AF19" i="6"/>
  <c r="AQ19" i="6" s="1"/>
  <c r="AS19" i="6" l="1"/>
  <c r="AR19" i="6"/>
  <c r="AK19" i="6"/>
  <c r="AM20" i="6" l="1"/>
  <c r="AH20" i="6" s="1"/>
  <c r="AJ19" i="6"/>
  <c r="AL19" i="6" l="1"/>
  <c r="O20" i="6" s="1"/>
  <c r="Z20" i="6" l="1"/>
  <c r="T20" i="6"/>
  <c r="P20" i="6"/>
  <c r="Q20" i="6" l="1"/>
  <c r="AA20" i="6"/>
  <c r="AB20" i="6" l="1"/>
  <c r="S20" i="6"/>
  <c r="U20" i="6" l="1"/>
  <c r="AC20" i="6"/>
  <c r="V20" i="6" l="1"/>
  <c r="W20" i="6" l="1"/>
  <c r="X20" i="6"/>
  <c r="AD20" i="6" l="1"/>
  <c r="AE20" i="6" l="1"/>
  <c r="AG20" i="6" s="1"/>
  <c r="AI20" i="6" l="1"/>
  <c r="AN20" i="6" s="1"/>
  <c r="AO20" i="6" s="1"/>
  <c r="AF20" i="6"/>
  <c r="AQ20" i="6" s="1"/>
  <c r="AR20" i="6" l="1"/>
  <c r="AK20" i="6"/>
  <c r="AJ20" i="6" s="1"/>
  <c r="AL20" i="6" s="1"/>
  <c r="O21" i="6" s="1"/>
  <c r="Z21" i="6" s="1"/>
  <c r="AA21" i="6" s="1"/>
  <c r="AB21" i="6" s="1"/>
  <c r="AS20" i="6" l="1"/>
  <c r="AM21" i="6" s="1"/>
  <c r="AH21" i="6" s="1"/>
  <c r="P21" i="6"/>
  <c r="Q21" i="6" s="1"/>
  <c r="S21" i="6" s="1"/>
  <c r="U21" i="6" s="1"/>
  <c r="T21" i="6"/>
  <c r="AC21" i="6"/>
  <c r="V21" i="6" l="1"/>
  <c r="X21" i="6" s="1"/>
  <c r="AD21" i="6" s="1"/>
  <c r="AE21" i="6" s="1"/>
  <c r="AG21" i="6" s="1"/>
  <c r="W21" i="6" l="1"/>
  <c r="AI21" i="6"/>
  <c r="AN21" i="6" s="1"/>
  <c r="AO21" i="6" s="1"/>
  <c r="AF21" i="6"/>
  <c r="AQ21" i="6" s="1"/>
  <c r="AS21" i="6" l="1"/>
  <c r="AR21" i="6"/>
  <c r="AK21" i="6"/>
  <c r="AJ21" i="6" s="1"/>
  <c r="AL21" i="6" s="1"/>
  <c r="O22" i="6" s="1"/>
  <c r="AM22" i="6" l="1"/>
  <c r="AH22" i="6" s="1"/>
  <c r="T22" i="6"/>
  <c r="P22" i="6"/>
  <c r="Q22" i="6" s="1"/>
  <c r="S22" i="6" s="1"/>
  <c r="U22" i="6" s="1"/>
  <c r="Z22" i="6"/>
  <c r="AA22" i="6" s="1"/>
  <c r="AB22" i="6" s="1"/>
  <c r="AC22" i="6" l="1"/>
  <c r="V22" i="6"/>
  <c r="X22" i="6" s="1"/>
  <c r="AD22" i="6" l="1"/>
  <c r="AE22" i="6" s="1"/>
  <c r="AG22" i="6" s="1"/>
  <c r="W22" i="6"/>
  <c r="AI22" i="6" l="1"/>
  <c r="AN22" i="6" s="1"/>
  <c r="AO22" i="6" s="1"/>
  <c r="AF22" i="6"/>
  <c r="AQ22" i="6" s="1"/>
  <c r="AR22" i="6" l="1"/>
  <c r="AK22" i="6"/>
  <c r="AJ22" i="6" s="1"/>
  <c r="AL22" i="6" s="1"/>
  <c r="O23" i="6" s="1"/>
  <c r="AS22" i="6" l="1"/>
  <c r="AM23" i="6" s="1"/>
  <c r="AH23" i="6" s="1"/>
  <c r="Z23" i="6"/>
  <c r="AA23" i="6" s="1"/>
  <c r="T23" i="6"/>
  <c r="P23" i="6"/>
  <c r="Q23" i="6" s="1"/>
  <c r="S23" i="6" s="1"/>
  <c r="U23" i="6" s="1"/>
  <c r="AB23" i="6"/>
  <c r="AC23" i="6" l="1"/>
  <c r="V23" i="6"/>
  <c r="X23" i="6" s="1"/>
  <c r="AD23" i="6" l="1"/>
  <c r="AE23" i="6" s="1"/>
  <c r="AG23" i="6" s="1"/>
  <c r="W23" i="6"/>
  <c r="AI23" i="6" l="1"/>
  <c r="AN23" i="6" s="1"/>
  <c r="AO23" i="6" s="1"/>
  <c r="AF23" i="6"/>
  <c r="AQ23" i="6" s="1"/>
  <c r="AR23" i="6" l="1"/>
  <c r="AS23" i="6" s="1"/>
  <c r="AM24" i="6" s="1"/>
  <c r="AH24" i="6" s="1"/>
  <c r="AK23" i="6"/>
  <c r="AJ23" i="6" s="1"/>
  <c r="AL23" i="6" s="1"/>
  <c r="O24" i="6" s="1"/>
  <c r="P24" i="6" s="1"/>
  <c r="Q24" i="6" s="1"/>
  <c r="S24" i="6" s="1"/>
  <c r="U24" i="6" s="1"/>
  <c r="T24" i="6" l="1"/>
  <c r="V24" i="6" s="1"/>
  <c r="W24" i="6" s="1"/>
  <c r="Z24" i="6"/>
  <c r="AA24" i="6" s="1"/>
  <c r="AB24" i="6" s="1"/>
  <c r="AC24" i="6" s="1"/>
  <c r="X24" i="6" l="1"/>
  <c r="AD24" i="6" s="1"/>
  <c r="AE24" i="6" s="1"/>
  <c r="AG24" i="6" s="1"/>
  <c r="AI24" i="6" l="1"/>
  <c r="AN24" i="6" s="1"/>
  <c r="AO24" i="6" s="1"/>
  <c r="AF24" i="6"/>
  <c r="AQ24" i="6" s="1"/>
  <c r="AR24" i="6" l="1"/>
  <c r="AK24" i="6"/>
  <c r="AJ24" i="6" s="1"/>
  <c r="AL24" i="6" s="1"/>
  <c r="O25" i="6" s="1"/>
  <c r="Z25" i="6" s="1"/>
  <c r="AA25" i="6" s="1"/>
  <c r="AB25" i="6" s="1"/>
  <c r="AM25" i="6" l="1"/>
  <c r="AH25" i="6" s="1"/>
  <c r="AS24" i="6"/>
  <c r="T25" i="6"/>
  <c r="P25" i="6"/>
  <c r="Q25" i="6" s="1"/>
  <c r="S25" i="6" s="1"/>
  <c r="U25" i="6" s="1"/>
  <c r="AC25" i="6"/>
  <c r="V25" i="6" l="1"/>
  <c r="W25" i="6" s="1"/>
  <c r="X25" i="6"/>
  <c r="AD25" i="6" s="1"/>
  <c r="AE25" i="6" s="1"/>
  <c r="AG25" i="6" s="1"/>
  <c r="AI25" i="6" l="1"/>
  <c r="AN25" i="6" s="1"/>
  <c r="AO25" i="6" s="1"/>
  <c r="AF25" i="6"/>
  <c r="AQ25" i="6" s="1"/>
  <c r="AR25" i="6" l="1"/>
  <c r="AS25" i="6"/>
  <c r="AM26" i="6"/>
  <c r="AH26" i="6"/>
  <c r="AK25" i="6"/>
  <c r="AJ25" i="6" s="1"/>
  <c r="AL25" i="6" s="1"/>
  <c r="O26" i="6" s="1"/>
  <c r="T26" i="6" s="1"/>
  <c r="P26" i="6" l="1"/>
  <c r="Q26" i="6" s="1"/>
  <c r="S26" i="6" s="1"/>
  <c r="U26" i="6" s="1"/>
  <c r="V26" i="6" s="1"/>
  <c r="X26" i="6" s="1"/>
  <c r="Z26" i="6"/>
  <c r="AA26" i="6" s="1"/>
  <c r="AB26" i="6" s="1"/>
  <c r="AC26" i="6" s="1"/>
  <c r="W26" i="6" l="1"/>
  <c r="AD26" i="6"/>
  <c r="AE26" i="6"/>
  <c r="AG26" i="6" s="1"/>
  <c r="AI26" i="6" l="1"/>
  <c r="AN26" i="6" s="1"/>
  <c r="AO26" i="6" s="1"/>
  <c r="AF26" i="6"/>
  <c r="AQ26" i="6" s="1"/>
  <c r="AR26" i="6" l="1"/>
  <c r="AS26" i="6" s="1"/>
  <c r="AM27" i="6" s="1"/>
  <c r="AH27" i="6" s="1"/>
  <c r="AK26" i="6"/>
  <c r="AJ26" i="6" s="1"/>
  <c r="AL26" i="6" s="1"/>
  <c r="O27" i="6" s="1"/>
  <c r="T27" i="6" l="1"/>
  <c r="Z27" i="6"/>
  <c r="AA27" i="6" s="1"/>
  <c r="AB27" i="6" s="1"/>
  <c r="P27" i="6"/>
  <c r="Q27" i="6" s="1"/>
  <c r="S27" i="6" s="1"/>
  <c r="U27" i="6" s="1"/>
  <c r="AC27" i="6" l="1"/>
  <c r="V27" i="6"/>
  <c r="X27" i="6" s="1"/>
  <c r="AD27" i="6" l="1"/>
  <c r="AE27" i="6" s="1"/>
  <c r="AG27" i="6" s="1"/>
  <c r="W27" i="6"/>
  <c r="AI27" i="6" l="1"/>
  <c r="AN27" i="6" s="1"/>
  <c r="AO27" i="6" s="1"/>
  <c r="AF27" i="6"/>
  <c r="AQ27" i="6" s="1"/>
  <c r="AS27" i="6" l="1"/>
  <c r="AR27" i="6"/>
  <c r="AK27" i="6"/>
  <c r="AJ27" i="6" s="1"/>
  <c r="AL27" i="6" s="1"/>
  <c r="O28" i="6" s="1"/>
  <c r="AM28" i="6" l="1"/>
  <c r="AH28" i="6" s="1"/>
  <c r="T28" i="6"/>
  <c r="P28" i="6"/>
  <c r="Q28" i="6" s="1"/>
  <c r="S28" i="6" s="1"/>
  <c r="U28" i="6" s="1"/>
  <c r="Z28" i="6"/>
  <c r="AA28" i="6" s="1"/>
  <c r="AB28" i="6" s="1"/>
  <c r="AC28" i="6" l="1"/>
  <c r="V28" i="6"/>
  <c r="W28" i="6" s="1"/>
  <c r="X28" i="6" l="1"/>
  <c r="AD28" i="6" l="1"/>
  <c r="AE28" i="6" s="1"/>
  <c r="AG28" i="6" s="1"/>
  <c r="AI28" i="6" s="1"/>
  <c r="AN28" i="6" s="1"/>
  <c r="AO28" i="6" s="1"/>
  <c r="AF28" i="6" l="1"/>
  <c r="AQ28" i="6" s="1"/>
  <c r="AK28" i="6"/>
  <c r="AJ28" i="6" s="1"/>
  <c r="AL28" i="6" s="1"/>
  <c r="O29" i="6" s="1"/>
  <c r="AR28" i="6" l="1"/>
  <c r="T29" i="6"/>
  <c r="Z29" i="6"/>
  <c r="AA29" i="6" s="1"/>
  <c r="AB29" i="6" s="1"/>
  <c r="P29" i="6"/>
  <c r="Q29" i="6" s="1"/>
  <c r="S29" i="6" s="1"/>
  <c r="U29" i="6" s="1"/>
  <c r="AS28" i="6" l="1"/>
  <c r="AM29" i="6" s="1"/>
  <c r="AH29" i="6" s="1"/>
  <c r="AC29" i="6"/>
  <c r="V29" i="6"/>
  <c r="X29" i="6" s="1"/>
  <c r="AD29" i="6" l="1"/>
  <c r="W29" i="6"/>
  <c r="AE29" i="6"/>
  <c r="AG29" i="6" s="1"/>
  <c r="AI29" i="6" l="1"/>
  <c r="AN29" i="6" s="1"/>
  <c r="AO29" i="6" s="1"/>
  <c r="AF29" i="6"/>
  <c r="AQ29" i="6" s="1"/>
  <c r="AR29" i="6" l="1"/>
  <c r="AK29" i="6"/>
  <c r="AJ29" i="6" s="1"/>
  <c r="AL29" i="6" s="1"/>
  <c r="O30" i="6" s="1"/>
  <c r="AS29" i="6" l="1"/>
  <c r="AM30" i="6" s="1"/>
  <c r="AH30" i="6" s="1"/>
  <c r="P30" i="6"/>
  <c r="Q30" i="6" s="1"/>
  <c r="S30" i="6" s="1"/>
  <c r="U30" i="6" s="1"/>
  <c r="T30" i="6"/>
  <c r="Z30" i="6"/>
  <c r="AA30" i="6" s="1"/>
  <c r="AB30" i="6" s="1"/>
  <c r="AC30" i="6" l="1"/>
  <c r="V30" i="6"/>
  <c r="W30" i="6" s="1"/>
  <c r="X30" i="6" l="1"/>
  <c r="AD30" i="6" s="1"/>
  <c r="AE30" i="6" s="1"/>
  <c r="AG30" i="6" s="1"/>
  <c r="AI30" i="6" l="1"/>
  <c r="AN30" i="6" s="1"/>
  <c r="AO30" i="6" s="1"/>
  <c r="AF30" i="6"/>
  <c r="AQ30" i="6" s="1"/>
  <c r="AR30" i="6" l="1"/>
  <c r="AK30" i="6"/>
  <c r="AJ30" i="6" s="1"/>
  <c r="AL30" i="6" s="1"/>
  <c r="O31" i="6" s="1"/>
  <c r="AS30" i="6" l="1"/>
  <c r="AM31" i="6" s="1"/>
  <c r="AH31" i="6" s="1"/>
  <c r="Z31" i="6"/>
  <c r="AA31" i="6" s="1"/>
  <c r="AB31" i="6" s="1"/>
  <c r="P31" i="6"/>
  <c r="Q31" i="6" s="1"/>
  <c r="S31" i="6" s="1"/>
  <c r="U31" i="6" s="1"/>
  <c r="T31" i="6"/>
  <c r="V31" i="6" l="1"/>
  <c r="X31" i="6" s="1"/>
  <c r="AC31" i="6"/>
  <c r="AD31" i="6" l="1"/>
  <c r="AE31" i="6"/>
  <c r="AG31" i="6" s="1"/>
  <c r="W31" i="6"/>
  <c r="AI31" i="6" l="1"/>
  <c r="AN31" i="6" s="1"/>
  <c r="AO31" i="6" s="1"/>
  <c r="AF31" i="6"/>
  <c r="AQ31" i="6" s="1"/>
  <c r="AR31" i="6" l="1"/>
  <c r="AK31" i="6"/>
  <c r="AJ31" i="6" s="1"/>
  <c r="AL31" i="6" s="1"/>
  <c r="O32" i="6" s="1"/>
  <c r="T32" i="6"/>
  <c r="Z32" i="6"/>
  <c r="AA32" i="6" s="1"/>
  <c r="AB32" i="6" s="1"/>
  <c r="P32" i="6"/>
  <c r="Q32" i="6" s="1"/>
  <c r="S32" i="6" s="1"/>
  <c r="U32" i="6" s="1"/>
  <c r="AS31" i="6" l="1"/>
  <c r="AM32" i="6" s="1"/>
  <c r="AH32" i="6" s="1"/>
  <c r="AC32" i="6"/>
  <c r="V32" i="6"/>
  <c r="X32" i="6" s="1"/>
  <c r="AD32" i="6" l="1"/>
  <c r="AE32" i="6" s="1"/>
  <c r="AG32" i="6" s="1"/>
  <c r="W32" i="6"/>
  <c r="AI32" i="6" l="1"/>
  <c r="AN32" i="6" s="1"/>
  <c r="AO32" i="6" s="1"/>
  <c r="AF32" i="6"/>
  <c r="AQ32" i="6" s="1"/>
  <c r="AR32" i="6" l="1"/>
  <c r="AK32" i="6"/>
  <c r="AJ32" i="6" s="1"/>
  <c r="AL32" i="6" s="1"/>
  <c r="O33" i="6" s="1"/>
  <c r="AM33" i="6" l="1"/>
  <c r="AH33" i="6" s="1"/>
  <c r="AS32" i="6"/>
  <c r="Z33" i="6"/>
  <c r="AA33" i="6" s="1"/>
  <c r="AB33" i="6" s="1"/>
  <c r="T33" i="6"/>
  <c r="P33" i="6"/>
  <c r="Q33" i="6" s="1"/>
  <c r="S33" i="6" s="1"/>
  <c r="U33" i="6" s="1"/>
  <c r="V33" i="6" l="1"/>
  <c r="X33" i="6" s="1"/>
  <c r="AC33" i="6"/>
  <c r="W33" i="6" l="1"/>
  <c r="AD33" i="6"/>
  <c r="AE33" i="6"/>
  <c r="AG33" i="6" s="1"/>
  <c r="AI33" i="6" l="1"/>
  <c r="AN33" i="6" s="1"/>
  <c r="AO33" i="6" s="1"/>
  <c r="AF33" i="6"/>
  <c r="AQ33" i="6" s="1"/>
  <c r="AR33" i="6" l="1"/>
  <c r="AS33" i="6"/>
  <c r="AM34" i="6"/>
  <c r="AH34" i="6"/>
  <c r="AK33" i="6"/>
  <c r="AJ33" i="6" s="1"/>
  <c r="AL33" i="6" s="1"/>
  <c r="O34" i="6" s="1"/>
  <c r="T34" i="6" l="1"/>
  <c r="P34" i="6"/>
  <c r="Q34" i="6" s="1"/>
  <c r="S34" i="6" s="1"/>
  <c r="U34" i="6" s="1"/>
  <c r="Z34" i="6"/>
  <c r="AA34" i="6" s="1"/>
  <c r="AB34" i="6" s="1"/>
  <c r="AC34" i="6" l="1"/>
  <c r="V34" i="6"/>
  <c r="X34" i="6" s="1"/>
  <c r="AD34" i="6" l="1"/>
  <c r="W34" i="6"/>
  <c r="AE34" i="6"/>
  <c r="AG34" i="6" s="1"/>
  <c r="AI34" i="6" l="1"/>
  <c r="AN34" i="6" s="1"/>
  <c r="AO34" i="6" s="1"/>
  <c r="AF34" i="6"/>
  <c r="AQ34" i="6" s="1"/>
  <c r="AR34" i="6" l="1"/>
  <c r="AK34" i="6"/>
  <c r="AJ34" i="6" s="1"/>
  <c r="AL34" i="6" s="1"/>
  <c r="O35" i="6" s="1"/>
  <c r="T35" i="6" s="1"/>
  <c r="Z35" i="6"/>
  <c r="AA35" i="6" s="1"/>
  <c r="AB35" i="6" s="1"/>
  <c r="P35" i="6"/>
  <c r="Q35" i="6" s="1"/>
  <c r="S35" i="6" s="1"/>
  <c r="U35" i="6" s="1"/>
  <c r="AS34" i="6" l="1"/>
  <c r="AM35" i="6" s="1"/>
  <c r="AH35" i="6" s="1"/>
  <c r="AC35" i="6"/>
  <c r="V35" i="6"/>
  <c r="X35" i="6" s="1"/>
  <c r="AD35" i="6" l="1"/>
  <c r="AE35" i="6" s="1"/>
  <c r="AG35" i="6" s="1"/>
  <c r="W35" i="6"/>
  <c r="AI35" i="6" l="1"/>
  <c r="AN35" i="6" s="1"/>
  <c r="AO35" i="6" s="1"/>
  <c r="AF35" i="6"/>
  <c r="AQ35" i="6" s="1"/>
  <c r="AR35" i="6" l="1"/>
  <c r="AK35" i="6"/>
  <c r="AJ35" i="6" s="1"/>
  <c r="AL35" i="6" s="1"/>
  <c r="O36" i="6" s="1"/>
  <c r="T36" i="6" s="1"/>
  <c r="P36" i="6" l="1"/>
  <c r="Q36" i="6" s="1"/>
  <c r="S36" i="6" s="1"/>
  <c r="U36" i="6" s="1"/>
  <c r="Z36" i="6"/>
  <c r="AA36" i="6" s="1"/>
  <c r="AB36" i="6" s="1"/>
  <c r="AS35" i="6"/>
  <c r="AM36" i="6" s="1"/>
  <c r="AH36" i="6" s="1"/>
  <c r="AC36" i="6"/>
  <c r="V36" i="6"/>
  <c r="X36" i="6" s="1"/>
  <c r="W36" i="6" l="1"/>
  <c r="AD36" i="6"/>
  <c r="AE36" i="6" s="1"/>
  <c r="AG36" i="6" s="1"/>
  <c r="AI36" i="6" l="1"/>
  <c r="AN36" i="6" s="1"/>
  <c r="AO36" i="6" s="1"/>
  <c r="AF36" i="6"/>
  <c r="AQ36" i="6" s="1"/>
  <c r="AR36" i="6" l="1"/>
  <c r="AK36" i="6"/>
  <c r="AJ36" i="6" s="1"/>
  <c r="AL36" i="6" s="1"/>
  <c r="O37" i="6" s="1"/>
  <c r="P37" i="6" s="1"/>
  <c r="Q37" i="6" s="1"/>
  <c r="S37" i="6" s="1"/>
  <c r="U37" i="6" s="1"/>
  <c r="AS36" i="6" l="1"/>
  <c r="AM37" i="6" s="1"/>
  <c r="AH37" i="6" s="1"/>
  <c r="Z37" i="6"/>
  <c r="AA37" i="6" s="1"/>
  <c r="AB37" i="6" s="1"/>
  <c r="T37" i="6"/>
  <c r="V37" i="6" s="1"/>
  <c r="W37" i="6" s="1"/>
  <c r="AC37" i="6"/>
  <c r="X37" i="6" l="1"/>
  <c r="AD37" i="6" s="1"/>
  <c r="AE37" i="6" s="1"/>
  <c r="AG37" i="6" s="1"/>
  <c r="AI37" i="6" l="1"/>
  <c r="AN37" i="6" s="1"/>
  <c r="AO37" i="6" s="1"/>
  <c r="AF37" i="6"/>
  <c r="AQ37" i="6" s="1"/>
  <c r="AR37" i="6" l="1"/>
  <c r="AK37" i="6"/>
  <c r="AJ37" i="6" s="1"/>
  <c r="AL37" i="6" s="1"/>
  <c r="O38" i="6" s="1"/>
  <c r="Z38" i="6"/>
  <c r="AA38" i="6" s="1"/>
  <c r="P38" i="6"/>
  <c r="Q38" i="6" s="1"/>
  <c r="S38" i="6" s="1"/>
  <c r="U38" i="6" s="1"/>
  <c r="T38" i="6"/>
  <c r="AB38" i="6"/>
  <c r="AM38" i="6" l="1"/>
  <c r="AH38" i="6" s="1"/>
  <c r="AS37" i="6"/>
  <c r="AC38" i="6"/>
  <c r="V38" i="6"/>
  <c r="X38" i="6" s="1"/>
  <c r="AD38" i="6" l="1"/>
  <c r="W38" i="6"/>
  <c r="AE38" i="6"/>
  <c r="AG38" i="6" s="1"/>
  <c r="AI38" i="6" l="1"/>
  <c r="AN38" i="6" s="1"/>
  <c r="AO38" i="6" s="1"/>
  <c r="AF38" i="6"/>
  <c r="AQ38" i="6" s="1"/>
  <c r="AR38" i="6" l="1"/>
  <c r="AK38" i="6"/>
  <c r="AJ38" i="6" s="1"/>
  <c r="AL38" i="6" s="1"/>
  <c r="O39" i="6" s="1"/>
  <c r="AS38" i="6" l="1"/>
  <c r="AM39" i="6" s="1"/>
  <c r="AH39" i="6" s="1"/>
  <c r="T39" i="6"/>
  <c r="Z39" i="6"/>
  <c r="AA39" i="6" s="1"/>
  <c r="AB39" i="6" s="1"/>
  <c r="P39" i="6"/>
  <c r="Q39" i="6" s="1"/>
  <c r="S39" i="6" s="1"/>
  <c r="U39" i="6" s="1"/>
  <c r="AC39" i="6" l="1"/>
  <c r="V39" i="6"/>
  <c r="X39" i="6" s="1"/>
  <c r="W39" i="6" l="1"/>
  <c r="AD39" i="6"/>
  <c r="AE39" i="6"/>
  <c r="AG39" i="6" s="1"/>
  <c r="AI39" i="6" l="1"/>
  <c r="AN39" i="6" s="1"/>
  <c r="AO39" i="6" s="1"/>
  <c r="AF39" i="6"/>
  <c r="AQ39" i="6" s="1"/>
  <c r="AS39" i="6" l="1"/>
  <c r="AR39" i="6"/>
  <c r="AK39" i="6"/>
  <c r="AJ39" i="6" s="1"/>
  <c r="AL39" i="6" s="1"/>
  <c r="O40" i="6" s="1"/>
  <c r="AM40" i="6" l="1"/>
  <c r="AH40" i="6" s="1"/>
  <c r="T40" i="6"/>
  <c r="P40" i="6"/>
  <c r="Q40" i="6" s="1"/>
  <c r="S40" i="6" s="1"/>
  <c r="U40" i="6" s="1"/>
  <c r="Z40" i="6"/>
  <c r="AA40" i="6" s="1"/>
  <c r="AB40" i="6" s="1"/>
  <c r="AC40" i="6" l="1"/>
  <c r="V40" i="6"/>
  <c r="X40" i="6" s="1"/>
  <c r="AD40" i="6" l="1"/>
  <c r="AE40" i="6" s="1"/>
  <c r="AG40" i="6" s="1"/>
  <c r="W40" i="6"/>
  <c r="AI40" i="6" l="1"/>
  <c r="AN40" i="6" s="1"/>
  <c r="AO40" i="6" s="1"/>
  <c r="AF40" i="6"/>
  <c r="AQ40" i="6" s="1"/>
  <c r="AS40" i="6" l="1"/>
  <c r="AR40" i="6"/>
  <c r="AK40" i="6"/>
  <c r="AJ40" i="6" s="1"/>
  <c r="AL40" i="6" s="1"/>
  <c r="O41" i="6" s="1"/>
  <c r="P41" i="6" s="1"/>
  <c r="Q41" i="6" s="1"/>
  <c r="S41" i="6" s="1"/>
  <c r="U41" i="6" s="1"/>
  <c r="Z41" i="6"/>
  <c r="AA41" i="6" s="1"/>
  <c r="AB41" i="6" s="1"/>
  <c r="T41" i="6"/>
  <c r="AM41" i="6" l="1"/>
  <c r="AH41" i="6" s="1"/>
  <c r="AC41" i="6"/>
  <c r="V41" i="6"/>
  <c r="W41" i="6" s="1"/>
  <c r="X41" i="6" l="1"/>
  <c r="AD41" i="6" s="1"/>
  <c r="AE41" i="6" s="1"/>
  <c r="AG41" i="6" s="1"/>
  <c r="AI41" i="6" l="1"/>
  <c r="AN41" i="6" s="1"/>
  <c r="AO41" i="6" s="1"/>
  <c r="AF41" i="6"/>
  <c r="AQ41" i="6" s="1"/>
  <c r="AR41" i="6" l="1"/>
  <c r="AS41" i="6" s="1"/>
  <c r="AM42" i="6" s="1"/>
  <c r="AH42" i="6" s="1"/>
  <c r="AK41" i="6"/>
  <c r="AJ41" i="6" s="1"/>
  <c r="AL41" i="6" s="1"/>
  <c r="O42" i="6" s="1"/>
  <c r="T42" i="6" l="1"/>
  <c r="Z42" i="6"/>
  <c r="AA42" i="6" s="1"/>
  <c r="P42" i="6"/>
  <c r="Q42" i="6" s="1"/>
  <c r="S42" i="6" s="1"/>
  <c r="U42" i="6" s="1"/>
  <c r="AB42" i="6"/>
  <c r="AC42" i="6" l="1"/>
  <c r="V42" i="6"/>
  <c r="X42" i="6" s="1"/>
  <c r="AD42" i="6" l="1"/>
  <c r="W42" i="6"/>
  <c r="AE42" i="6"/>
  <c r="AG42" i="6" s="1"/>
  <c r="AI42" i="6" l="1"/>
  <c r="AN42" i="6" s="1"/>
  <c r="AO42" i="6" s="1"/>
  <c r="AF42" i="6"/>
  <c r="AQ42" i="6" s="1"/>
  <c r="AS42" i="6" l="1"/>
  <c r="AR42" i="6"/>
  <c r="AK42" i="6"/>
  <c r="AJ42" i="6" s="1"/>
  <c r="AL42" i="6" s="1"/>
  <c r="O43" i="6" s="1"/>
  <c r="AM43" i="6" l="1"/>
  <c r="AH43" i="6" s="1"/>
  <c r="P43" i="6"/>
  <c r="Q43" i="6" s="1"/>
  <c r="S43" i="6" s="1"/>
  <c r="U43" i="6" s="1"/>
  <c r="T43" i="6"/>
  <c r="Z43" i="6"/>
  <c r="AA43" i="6" s="1"/>
  <c r="AB43" i="6" s="1"/>
  <c r="AC43" i="6" l="1"/>
  <c r="V43" i="6"/>
  <c r="W43" i="6" s="1"/>
  <c r="X43" i="6" l="1"/>
  <c r="AD43" i="6" s="1"/>
  <c r="AE43" i="6" s="1"/>
  <c r="AG43" i="6" s="1"/>
  <c r="AI43" i="6" l="1"/>
  <c r="AN43" i="6" s="1"/>
  <c r="AO43" i="6" s="1"/>
  <c r="AF43" i="6"/>
  <c r="AQ43" i="6" s="1"/>
  <c r="AS43" i="6" l="1"/>
  <c r="AR43" i="6"/>
  <c r="AK43" i="6"/>
  <c r="AJ43" i="6" s="1"/>
  <c r="AL43" i="6" s="1"/>
  <c r="O44" i="6" s="1"/>
  <c r="AM44" i="6" l="1"/>
  <c r="AH44" i="6" s="1"/>
  <c r="Z44" i="6"/>
  <c r="AA44" i="6" s="1"/>
  <c r="T44" i="6"/>
  <c r="AB44" i="6"/>
  <c r="P44" i="6"/>
  <c r="Q44" i="6" s="1"/>
  <c r="S44" i="6" s="1"/>
  <c r="U44" i="6" s="1"/>
  <c r="V44" i="6" l="1"/>
  <c r="W44" i="6" s="1"/>
  <c r="AC44" i="6"/>
  <c r="X44" i="6" l="1"/>
  <c r="AD44" i="6"/>
  <c r="AE44" i="6"/>
  <c r="AG44" i="6" s="1"/>
  <c r="AI44" i="6" l="1"/>
  <c r="AN44" i="6" s="1"/>
  <c r="AO44" i="6" s="1"/>
  <c r="AF44" i="6"/>
  <c r="AQ44" i="6" s="1"/>
  <c r="AR44" i="6" l="1"/>
  <c r="AS44" i="6"/>
  <c r="AM45" i="6"/>
  <c r="AH45" i="6" s="1"/>
  <c r="AK44" i="6"/>
  <c r="AJ44" i="6" s="1"/>
  <c r="AL44" i="6" s="1"/>
  <c r="O45" i="6" s="1"/>
  <c r="Z45" i="6" l="1"/>
  <c r="AA45" i="6" s="1"/>
  <c r="AB45" i="6" s="1"/>
  <c r="T45" i="6"/>
  <c r="P45" i="6"/>
  <c r="Q45" i="6" s="1"/>
  <c r="S45" i="6" s="1"/>
  <c r="U45" i="6" s="1"/>
  <c r="AC45" i="6" l="1"/>
  <c r="V45" i="6"/>
  <c r="X45" i="6" s="1"/>
  <c r="AD45" i="6" l="1"/>
  <c r="W45" i="6"/>
  <c r="AE45" i="6"/>
  <c r="AG45" i="6" s="1"/>
  <c r="AI45" i="6" l="1"/>
  <c r="AN45" i="6" s="1"/>
  <c r="AO45" i="6" s="1"/>
  <c r="AF45" i="6"/>
  <c r="AQ45" i="6" s="1"/>
  <c r="AS45" i="6" l="1"/>
  <c r="AR45" i="6"/>
  <c r="AK45" i="6"/>
  <c r="AJ45" i="6" s="1"/>
  <c r="AL45" i="6" s="1"/>
  <c r="O46" i="6" s="1"/>
  <c r="AM46" i="6" l="1"/>
  <c r="AH46" i="6" s="1"/>
  <c r="Z46" i="6"/>
  <c r="AA46" i="6" s="1"/>
  <c r="T46" i="6"/>
  <c r="P46" i="6"/>
  <c r="Q46" i="6" s="1"/>
  <c r="S46" i="6" s="1"/>
  <c r="U46" i="6" s="1"/>
  <c r="AB46" i="6"/>
  <c r="AC46" i="6" l="1"/>
  <c r="V46" i="6"/>
  <c r="W46" i="6" s="1"/>
  <c r="X46" i="6" l="1"/>
  <c r="AD46" i="6" s="1"/>
  <c r="AE46" i="6" s="1"/>
  <c r="AG46" i="6" s="1"/>
  <c r="AI46" i="6" l="1"/>
  <c r="AN46" i="6" s="1"/>
  <c r="AO46" i="6" s="1"/>
  <c r="AF46" i="6"/>
  <c r="AQ46" i="6" s="1"/>
  <c r="AR46" i="6" l="1"/>
  <c r="AK46" i="6"/>
  <c r="AJ46" i="6" s="1"/>
  <c r="AL46" i="6" s="1"/>
  <c r="O47" i="6" s="1"/>
  <c r="AS46" i="6" l="1"/>
  <c r="AM47" i="6" s="1"/>
  <c r="AH47" i="6" s="1"/>
  <c r="T47" i="6"/>
  <c r="P47" i="6"/>
  <c r="Q47" i="6" s="1"/>
  <c r="S47" i="6" s="1"/>
  <c r="U47" i="6" s="1"/>
  <c r="Z47" i="6"/>
  <c r="AA47" i="6" s="1"/>
  <c r="AB47" i="6" s="1"/>
  <c r="AC47" i="6" l="1"/>
  <c r="V47" i="6"/>
  <c r="X47" i="6" s="1"/>
  <c r="W47" i="6" l="1"/>
  <c r="AD47" i="6"/>
  <c r="AE47" i="6" s="1"/>
  <c r="AG47" i="6" s="1"/>
  <c r="AI47" i="6" l="1"/>
  <c r="AN47" i="6" s="1"/>
  <c r="AO47" i="6" s="1"/>
  <c r="AF47" i="6"/>
  <c r="AQ47" i="6" s="1"/>
  <c r="AR47" i="6" l="1"/>
  <c r="AK47" i="6"/>
  <c r="AJ47" i="6" s="1"/>
  <c r="AL47" i="6" s="1"/>
  <c r="O48" i="6" s="1"/>
  <c r="T48" i="6" s="1"/>
  <c r="Z48" i="6" l="1"/>
  <c r="AA48" i="6" s="1"/>
  <c r="AB48" i="6" s="1"/>
  <c r="AS47" i="6"/>
  <c r="AM48" i="6" s="1"/>
  <c r="AH48" i="6" s="1"/>
  <c r="P48" i="6"/>
  <c r="Q48" i="6" s="1"/>
  <c r="S48" i="6" s="1"/>
  <c r="U48" i="6" s="1"/>
  <c r="V48" i="6" s="1"/>
  <c r="X48" i="6" s="1"/>
  <c r="AC48" i="6"/>
  <c r="AD48" i="6" l="1"/>
  <c r="AE48" i="6" s="1"/>
  <c r="AG48" i="6" s="1"/>
  <c r="W48" i="6"/>
  <c r="AI48" i="6" l="1"/>
  <c r="AN48" i="6" s="1"/>
  <c r="AO48" i="6" s="1"/>
  <c r="AF48" i="6"/>
  <c r="AQ48" i="6" s="1"/>
  <c r="AR48" i="6" l="1"/>
  <c r="AK48" i="6"/>
  <c r="AJ48" i="6" s="1"/>
  <c r="AL48" i="6" s="1"/>
  <c r="O49" i="6" s="1"/>
  <c r="T49" i="6" s="1"/>
  <c r="AS48" i="6" l="1"/>
  <c r="AM49" i="6" s="1"/>
  <c r="AH49" i="6" s="1"/>
  <c r="P49" i="6"/>
  <c r="Q49" i="6" s="1"/>
  <c r="S49" i="6" s="1"/>
  <c r="U49" i="6" s="1"/>
  <c r="V49" i="6" s="1"/>
  <c r="X49" i="6" s="1"/>
  <c r="Z49" i="6"/>
  <c r="AA49" i="6" s="1"/>
  <c r="AB49" i="6" s="1"/>
  <c r="AC49" i="6" s="1"/>
  <c r="AD49" i="6" l="1"/>
  <c r="W49" i="6"/>
  <c r="AE49" i="6"/>
  <c r="AG49" i="6" s="1"/>
  <c r="AI49" i="6" l="1"/>
  <c r="AN49" i="6" s="1"/>
  <c r="AO49" i="6" s="1"/>
  <c r="AF49" i="6"/>
  <c r="AQ49" i="6" s="1"/>
  <c r="AR49" i="6" l="1"/>
  <c r="AS49" i="6" s="1"/>
  <c r="AM50" i="6" s="1"/>
  <c r="AH50" i="6" s="1"/>
  <c r="AK49" i="6"/>
  <c r="AJ49" i="6" s="1"/>
  <c r="AL49" i="6" s="1"/>
  <c r="O50" i="6" s="1"/>
  <c r="Z50" i="6" l="1"/>
  <c r="AA50" i="6" s="1"/>
  <c r="AB50" i="6" s="1"/>
  <c r="T50" i="6"/>
  <c r="P50" i="6"/>
  <c r="Q50" i="6" s="1"/>
  <c r="S50" i="6" s="1"/>
  <c r="U50" i="6" s="1"/>
  <c r="AC50" i="6" l="1"/>
  <c r="V50" i="6"/>
  <c r="X50" i="6" s="1"/>
  <c r="AD50" i="6" l="1"/>
  <c r="W50" i="6"/>
  <c r="AE50" i="6"/>
  <c r="AG50" i="6" s="1"/>
  <c r="AI50" i="6" l="1"/>
  <c r="AN50" i="6" s="1"/>
  <c r="AO50" i="6" s="1"/>
  <c r="AF50" i="6"/>
  <c r="AQ50" i="6" s="1"/>
  <c r="AR50" i="6" l="1"/>
  <c r="AK50" i="6"/>
  <c r="AJ50" i="6" s="1"/>
  <c r="AL50" i="6" s="1"/>
  <c r="O51" i="6" s="1"/>
  <c r="AS50" i="6" l="1"/>
  <c r="AM51" i="6" s="1"/>
  <c r="AH51" i="6" s="1"/>
  <c r="Z51" i="6"/>
  <c r="AA51" i="6" s="1"/>
  <c r="AB51" i="6" s="1"/>
  <c r="P51" i="6"/>
  <c r="Q51" i="6" s="1"/>
  <c r="S51" i="6" s="1"/>
  <c r="U51" i="6" s="1"/>
  <c r="T51" i="6"/>
  <c r="AC51" i="6" l="1"/>
  <c r="V51" i="6"/>
  <c r="W51" i="6" s="1"/>
  <c r="X51" i="6" l="1"/>
  <c r="AD51" i="6"/>
  <c r="AE51" i="6"/>
  <c r="AG51" i="6" s="1"/>
  <c r="AI51" i="6" l="1"/>
  <c r="AN51" i="6" s="1"/>
  <c r="AO51" i="6" s="1"/>
  <c r="AF51" i="6"/>
  <c r="AQ51" i="6" s="1"/>
  <c r="AR51" i="6" l="1"/>
  <c r="AK51" i="6"/>
  <c r="AJ51" i="6" s="1"/>
  <c r="AL51" i="6" s="1"/>
  <c r="O52" i="6" s="1"/>
  <c r="T52" i="6" s="1"/>
  <c r="P52" i="6" l="1"/>
  <c r="Q52" i="6" s="1"/>
  <c r="S52" i="6" s="1"/>
  <c r="U52" i="6" s="1"/>
  <c r="AS51" i="6"/>
  <c r="AM52" i="6" s="1"/>
  <c r="AH52" i="6" s="1"/>
  <c r="Z52" i="6"/>
  <c r="AA52" i="6" s="1"/>
  <c r="AB52" i="6" s="1"/>
  <c r="AC52" i="6" s="1"/>
  <c r="V52" i="6"/>
  <c r="X52" i="6" s="1"/>
  <c r="W52" i="6" l="1"/>
  <c r="AD52" i="6"/>
  <c r="AE52" i="6"/>
  <c r="AG52" i="6" s="1"/>
  <c r="AI52" i="6" l="1"/>
  <c r="AN52" i="6" s="1"/>
  <c r="AO52" i="6" s="1"/>
  <c r="AF52" i="6"/>
  <c r="AQ52" i="6" s="1"/>
  <c r="AR52" i="6" l="1"/>
  <c r="AK52" i="6"/>
  <c r="AJ52" i="6" s="1"/>
  <c r="AL52" i="6" s="1"/>
  <c r="O53" i="6" s="1"/>
  <c r="AS52" i="6" l="1"/>
  <c r="AM53" i="6" s="1"/>
  <c r="AH53" i="6" s="1"/>
  <c r="Z53" i="6"/>
  <c r="AA53" i="6" s="1"/>
  <c r="T53" i="6"/>
  <c r="P53" i="6"/>
  <c r="Q53" i="6" s="1"/>
  <c r="S53" i="6" s="1"/>
  <c r="U53" i="6" s="1"/>
  <c r="AB53" i="6"/>
  <c r="AC53" i="6" l="1"/>
  <c r="V53" i="6"/>
  <c r="X53" i="6" s="1"/>
  <c r="AD53" i="6" l="1"/>
  <c r="AE53" i="6" s="1"/>
  <c r="AG53" i="6" s="1"/>
  <c r="W53" i="6"/>
  <c r="AI53" i="6" l="1"/>
  <c r="AN53" i="6" s="1"/>
  <c r="AO53" i="6" s="1"/>
  <c r="AF53" i="6"/>
  <c r="AQ53" i="6" s="1"/>
  <c r="AR53" i="6" l="1"/>
  <c r="AK53" i="6"/>
  <c r="AJ53" i="6" s="1"/>
  <c r="AL53" i="6" s="1"/>
  <c r="O54" i="6" s="1"/>
  <c r="AS53" i="6" l="1"/>
  <c r="AM54" i="6" s="1"/>
  <c r="AH54" i="6" s="1"/>
  <c r="P54" i="6"/>
  <c r="Q54" i="6" s="1"/>
  <c r="S54" i="6" s="1"/>
  <c r="U54" i="6" s="1"/>
  <c r="Z54" i="6"/>
  <c r="AA54" i="6" s="1"/>
  <c r="AB54" i="6" s="1"/>
  <c r="T54" i="6"/>
  <c r="AC54" i="6" l="1"/>
  <c r="V54" i="6"/>
  <c r="W54" i="6" s="1"/>
  <c r="X54" i="6" l="1"/>
  <c r="AD54" i="6" s="1"/>
  <c r="AE54" i="6" s="1"/>
  <c r="AG54" i="6" s="1"/>
  <c r="AI54" i="6" l="1"/>
  <c r="AN54" i="6" s="1"/>
  <c r="AO54" i="6" s="1"/>
  <c r="AF54" i="6"/>
  <c r="AQ54" i="6" s="1"/>
  <c r="AR54" i="6" l="1"/>
  <c r="AK54" i="6"/>
  <c r="AJ54" i="6" s="1"/>
  <c r="AL54" i="6" s="1"/>
  <c r="O55" i="6" s="1"/>
  <c r="Z55" i="6" s="1"/>
  <c r="AA55" i="6" s="1"/>
  <c r="AB55" i="6" s="1"/>
  <c r="T55" i="6"/>
  <c r="P55" i="6"/>
  <c r="Q55" i="6" s="1"/>
  <c r="S55" i="6" s="1"/>
  <c r="U55" i="6" s="1"/>
  <c r="AS54" i="6" l="1"/>
  <c r="AM55" i="6" s="1"/>
  <c r="AH55" i="6" s="1"/>
  <c r="V55" i="6"/>
  <c r="W55" i="6" s="1"/>
  <c r="AC55" i="6"/>
  <c r="X55" i="6" l="1"/>
  <c r="AD55" i="6" l="1"/>
  <c r="AE55" i="6" l="1"/>
  <c r="AG55" i="6" s="1"/>
  <c r="AF55" i="6" l="1"/>
  <c r="AQ55" i="6" s="1"/>
  <c r="AI55" i="6"/>
  <c r="AN55" i="6" s="1"/>
  <c r="AO55" i="6" s="1"/>
  <c r="AR55" i="6" l="1"/>
  <c r="AS55" i="6"/>
  <c r="AM56" i="6"/>
  <c r="AH56" i="6" s="1"/>
  <c r="AK55" i="6"/>
  <c r="AJ55" i="6" s="1"/>
  <c r="AL55" i="6" s="1"/>
  <c r="O56" i="6" s="1"/>
  <c r="T56" i="6" l="1"/>
  <c r="Z56" i="6"/>
  <c r="AA56" i="6" s="1"/>
  <c r="P56" i="6"/>
  <c r="Q56" i="6" s="1"/>
  <c r="S56" i="6" s="1"/>
  <c r="U56" i="6" s="1"/>
  <c r="AB56" i="6"/>
  <c r="AC56" i="6" l="1"/>
  <c r="V56" i="6"/>
  <c r="X56" i="6" s="1"/>
  <c r="W56" i="6" l="1"/>
  <c r="AD56" i="6"/>
  <c r="AE56" i="6"/>
  <c r="AG56" i="6" s="1"/>
  <c r="AI56" i="6" l="1"/>
  <c r="AN56" i="6" s="1"/>
  <c r="AO56" i="6" s="1"/>
  <c r="AF56" i="6"/>
  <c r="AQ56" i="6" s="1"/>
  <c r="AR56" i="6" l="1"/>
  <c r="AK56" i="6"/>
  <c r="AJ56" i="6" s="1"/>
  <c r="AL56" i="6" s="1"/>
  <c r="O57" i="6" s="1"/>
  <c r="T57" i="6" s="1"/>
  <c r="AS56" i="6" l="1"/>
  <c r="AM57" i="6" s="1"/>
  <c r="AH57" i="6" s="1"/>
  <c r="P57" i="6"/>
  <c r="Q57" i="6" s="1"/>
  <c r="S57" i="6" s="1"/>
  <c r="U57" i="6" s="1"/>
  <c r="Z57" i="6"/>
  <c r="AA57" i="6" s="1"/>
  <c r="AB57" i="6" s="1"/>
  <c r="AC57" i="6" s="1"/>
  <c r="V57" i="6"/>
  <c r="X57" i="6" s="1"/>
  <c r="AD57" i="6" l="1"/>
  <c r="AE57" i="6" s="1"/>
  <c r="AG57" i="6" s="1"/>
  <c r="W57" i="6"/>
  <c r="AI57" i="6" l="1"/>
  <c r="AN57" i="6" s="1"/>
  <c r="AO57" i="6" s="1"/>
  <c r="AF57" i="6"/>
  <c r="AQ57" i="6" s="1"/>
  <c r="AR57" i="6" l="1"/>
  <c r="AS57" i="6"/>
  <c r="AM58" i="6"/>
  <c r="AH58" i="6" s="1"/>
  <c r="AK57" i="6"/>
  <c r="AJ57" i="6" s="1"/>
  <c r="AL57" i="6" s="1"/>
  <c r="O58" i="6" s="1"/>
  <c r="Z58" i="6" l="1"/>
  <c r="AA58" i="6" s="1"/>
  <c r="AB58" i="6" s="1"/>
  <c r="P58" i="6"/>
  <c r="Q58" i="6" s="1"/>
  <c r="S58" i="6" s="1"/>
  <c r="U58" i="6" s="1"/>
  <c r="T58" i="6"/>
  <c r="AC58" i="6" l="1"/>
  <c r="V58" i="6"/>
  <c r="W58" i="6" s="1"/>
  <c r="X58" i="6" l="1"/>
  <c r="AD58" i="6" s="1"/>
  <c r="AE58" i="6" l="1"/>
  <c r="AG58" i="6" s="1"/>
  <c r="AI58" i="6" l="1"/>
  <c r="AN58" i="6" s="1"/>
  <c r="AO58" i="6" s="1"/>
  <c r="AF58" i="6"/>
  <c r="AQ58" i="6" s="1"/>
  <c r="AR58" i="6" l="1"/>
  <c r="AS58" i="6"/>
  <c r="AM59" i="6"/>
  <c r="AH59" i="6" s="1"/>
  <c r="AK58" i="6"/>
  <c r="AJ58" i="6" s="1"/>
  <c r="AL58" i="6" s="1"/>
  <c r="O59" i="6" s="1"/>
  <c r="P59" i="6" l="1"/>
  <c r="Q59" i="6" s="1"/>
  <c r="S59" i="6" s="1"/>
  <c r="U59" i="6" s="1"/>
  <c r="T59" i="6"/>
  <c r="Z59" i="6"/>
  <c r="AA59" i="6" s="1"/>
  <c r="AB59" i="6" s="1"/>
  <c r="AC59" i="6" l="1"/>
  <c r="V59" i="6"/>
  <c r="W59" i="6" s="1"/>
  <c r="X59" i="6" l="1"/>
  <c r="AD59" i="6" l="1"/>
  <c r="AE59" i="6" l="1"/>
  <c r="AG59" i="6" s="1"/>
  <c r="AI59" i="6" l="1"/>
  <c r="AN59" i="6" s="1"/>
  <c r="AO59" i="6" s="1"/>
  <c r="AF59" i="6"/>
  <c r="AQ59" i="6" s="1"/>
  <c r="AR59" i="6" l="1"/>
  <c r="AS59" i="6" s="1"/>
  <c r="AM60" i="6" s="1"/>
  <c r="AH60" i="6" s="1"/>
  <c r="AK59" i="6"/>
  <c r="AJ59" i="6" s="1"/>
  <c r="AL59" i="6" s="1"/>
  <c r="O60" i="6" s="1"/>
  <c r="P60" i="6" s="1"/>
  <c r="Q60" i="6" s="1"/>
  <c r="S60" i="6" s="1"/>
  <c r="U60" i="6" s="1"/>
  <c r="Z60" i="6" l="1"/>
  <c r="AA60" i="6" s="1"/>
  <c r="AB60" i="6" s="1"/>
  <c r="AC60" i="6" s="1"/>
  <c r="T60" i="6"/>
  <c r="V60" i="6"/>
  <c r="W60" i="6" s="1"/>
  <c r="X60" i="6" l="1"/>
  <c r="AD60" i="6" s="1"/>
  <c r="AE60" i="6" s="1"/>
  <c r="AG60" i="6" s="1"/>
  <c r="AI60" i="6" l="1"/>
  <c r="AN60" i="6" s="1"/>
  <c r="AO60" i="6" s="1"/>
  <c r="AF60" i="6"/>
  <c r="AQ60" i="6" s="1"/>
  <c r="AR60" i="6" l="1"/>
  <c r="AS60" i="6"/>
  <c r="AK60" i="6"/>
  <c r="AJ60" i="6" s="1"/>
  <c r="AL60" i="6" s="1"/>
  <c r="O61" i="6" s="1"/>
  <c r="Z61" i="6" s="1"/>
  <c r="AA61" i="6" s="1"/>
  <c r="AB61" i="6" s="1"/>
  <c r="AM61" i="6" l="1"/>
  <c r="AH61" i="6" s="1"/>
  <c r="P61" i="6"/>
  <c r="Q61" i="6" s="1"/>
  <c r="S61" i="6" s="1"/>
  <c r="U61" i="6" s="1"/>
  <c r="T61" i="6"/>
  <c r="AC61" i="6"/>
  <c r="V61" i="6" l="1"/>
  <c r="X61" i="6" s="1"/>
  <c r="AD61" i="6"/>
  <c r="AE61" i="6" s="1"/>
  <c r="AG61" i="6" s="1"/>
  <c r="W61" i="6"/>
  <c r="AI61" i="6" l="1"/>
  <c r="AN61" i="6" s="1"/>
  <c r="AO61" i="6" s="1"/>
  <c r="AF61" i="6"/>
  <c r="AQ61" i="6" s="1"/>
  <c r="AR61" i="6" l="1"/>
  <c r="AK61" i="6"/>
  <c r="AJ61" i="6" s="1"/>
  <c r="AL61" i="6" s="1"/>
  <c r="O62" i="6" s="1"/>
  <c r="P62" i="6" s="1"/>
  <c r="Q62" i="6" s="1"/>
  <c r="S62" i="6" s="1"/>
  <c r="U62" i="6" s="1"/>
  <c r="AS61" i="6" l="1"/>
  <c r="AM62" i="6" s="1"/>
  <c r="AH62" i="6" s="1"/>
  <c r="Z62" i="6"/>
  <c r="AA62" i="6" s="1"/>
  <c r="AB62" i="6" s="1"/>
  <c r="AC62" i="6" s="1"/>
  <c r="T62" i="6"/>
  <c r="V62" i="6"/>
  <c r="W62" i="6" s="1"/>
  <c r="X62" i="6" l="1"/>
  <c r="AD62" i="6" s="1"/>
  <c r="AE62" i="6" s="1"/>
  <c r="AG62" i="6" s="1"/>
  <c r="AI62" i="6" l="1"/>
  <c r="AN62" i="6" s="1"/>
  <c r="AO62" i="6" s="1"/>
  <c r="AF62" i="6"/>
  <c r="AQ62" i="6" s="1"/>
  <c r="AR62" i="6" l="1"/>
  <c r="AK62" i="6"/>
  <c r="AJ62" i="6" s="1"/>
  <c r="AL62" i="6" s="1"/>
  <c r="O63" i="6" s="1"/>
  <c r="AS62" i="6" l="1"/>
  <c r="AM63" i="6" s="1"/>
  <c r="AH63" i="6" s="1"/>
  <c r="Z63" i="6"/>
  <c r="AA63" i="6" s="1"/>
  <c r="AB63" i="6" s="1"/>
  <c r="T63" i="6"/>
  <c r="P63" i="6"/>
  <c r="Q63" i="6" s="1"/>
  <c r="S63" i="6" s="1"/>
  <c r="U63" i="6" s="1"/>
  <c r="AC63" i="6" l="1"/>
  <c r="V63" i="6"/>
  <c r="X63" i="6" s="1"/>
  <c r="AD63" i="6" l="1"/>
  <c r="AE63" i="6" s="1"/>
  <c r="AG63" i="6" s="1"/>
  <c r="W63" i="6"/>
  <c r="AI63" i="6" l="1"/>
  <c r="AN63" i="6" s="1"/>
  <c r="AO63" i="6" s="1"/>
  <c r="AF63" i="6"/>
  <c r="AQ63" i="6" s="1"/>
  <c r="AR63" i="6" l="1"/>
  <c r="AK63" i="6"/>
  <c r="AJ63" i="6" s="1"/>
  <c r="AL63" i="6" s="1"/>
  <c r="O64" i="6" s="1"/>
  <c r="Z64" i="6" s="1"/>
  <c r="AA64" i="6" s="1"/>
  <c r="AB64" i="6" s="1"/>
  <c r="P64" i="6"/>
  <c r="Q64" i="6" s="1"/>
  <c r="S64" i="6" s="1"/>
  <c r="U64" i="6" s="1"/>
  <c r="AS63" i="6" l="1"/>
  <c r="AM64" i="6" s="1"/>
  <c r="AH64" i="6" s="1"/>
  <c r="T64" i="6"/>
  <c r="V64" i="6" s="1"/>
  <c r="W64" i="6" s="1"/>
  <c r="AC64" i="6"/>
  <c r="X64" i="6" l="1"/>
  <c r="AD64" i="6" l="1"/>
  <c r="AE64" i="6" l="1"/>
  <c r="AG64" i="6" s="1"/>
  <c r="AI64" i="6" l="1"/>
  <c r="AN64" i="6" s="1"/>
  <c r="AO64" i="6" s="1"/>
  <c r="AF64" i="6"/>
  <c r="AQ64" i="6" s="1"/>
  <c r="AR64" i="6" l="1"/>
  <c r="AK64" i="6"/>
  <c r="AJ64" i="6" s="1"/>
  <c r="AL64" i="6" s="1"/>
  <c r="O65" i="6" s="1"/>
  <c r="AS64" i="6" l="1"/>
  <c r="AM65" i="6" s="1"/>
  <c r="AH65" i="6" s="1"/>
  <c r="T65" i="6"/>
  <c r="P65" i="6"/>
  <c r="Q65" i="6" s="1"/>
  <c r="S65" i="6" s="1"/>
  <c r="U65" i="6" s="1"/>
  <c r="Z65" i="6"/>
  <c r="AA65" i="6" s="1"/>
  <c r="AB65" i="6" s="1"/>
  <c r="AC65" i="6" l="1"/>
  <c r="V65" i="6"/>
  <c r="X65" i="6" s="1"/>
  <c r="AD65" i="6" l="1"/>
  <c r="W65" i="6"/>
  <c r="AE65" i="6"/>
  <c r="AG65" i="6" s="1"/>
  <c r="AI65" i="6" l="1"/>
  <c r="AN65" i="6" s="1"/>
  <c r="AO65" i="6" s="1"/>
  <c r="AF65" i="6"/>
  <c r="AQ65" i="6" s="1"/>
  <c r="AR65" i="6" l="1"/>
  <c r="AS65" i="6" s="1"/>
  <c r="AM66" i="6" s="1"/>
  <c r="AH66" i="6" s="1"/>
  <c r="AK65" i="6"/>
  <c r="AJ65" i="6" s="1"/>
  <c r="AL65" i="6" s="1"/>
  <c r="O66" i="6" s="1"/>
  <c r="P66" i="6" l="1"/>
  <c r="Q66" i="6" s="1"/>
  <c r="S66" i="6" s="1"/>
  <c r="U66" i="6" s="1"/>
  <c r="T66" i="6"/>
  <c r="Z66" i="6"/>
  <c r="AA66" i="6" s="1"/>
  <c r="AB66" i="6" s="1"/>
  <c r="AC66" i="6" l="1"/>
  <c r="V66" i="6"/>
  <c r="W66" i="6" s="1"/>
  <c r="X66" i="6" l="1"/>
  <c r="AD66" i="6" l="1"/>
  <c r="AE66" i="6" s="1"/>
  <c r="AG66" i="6" s="1"/>
  <c r="AI66" i="6" s="1"/>
  <c r="AF66" i="6" l="1"/>
  <c r="AQ66" i="6" s="1"/>
  <c r="AN66" i="6"/>
  <c r="AO66" i="6" s="1"/>
  <c r="AK66" i="6"/>
  <c r="AJ66" i="6" s="1"/>
  <c r="AL66" i="6" s="1"/>
  <c r="O67" i="6" s="1"/>
  <c r="Z67" i="6" s="1"/>
  <c r="AA67" i="6" s="1"/>
  <c r="AB67" i="6" s="1"/>
  <c r="P67" i="6"/>
  <c r="Q67" i="6" s="1"/>
  <c r="S67" i="6" s="1"/>
  <c r="U67" i="6" s="1"/>
  <c r="AR66" i="6" l="1"/>
  <c r="AS66" i="6"/>
  <c r="AM67" i="6" s="1"/>
  <c r="AH67" i="6" s="1"/>
  <c r="T67" i="6"/>
  <c r="AC67" i="6"/>
  <c r="V67" i="6"/>
  <c r="X67" i="6" s="1"/>
  <c r="W67" i="6" l="1"/>
  <c r="AD67" i="6"/>
  <c r="AE67" i="6" s="1"/>
  <c r="AG67" i="6" s="1"/>
  <c r="AI67" i="6" l="1"/>
  <c r="AN67" i="6" s="1"/>
  <c r="AO67" i="6" s="1"/>
  <c r="AF67" i="6"/>
  <c r="AQ67" i="6" s="1"/>
  <c r="AR67" i="6" l="1"/>
  <c r="AK67" i="6"/>
  <c r="AJ67" i="6" s="1"/>
  <c r="AL67" i="6" s="1"/>
  <c r="O68" i="6" s="1"/>
  <c r="T68" i="6" s="1"/>
  <c r="AS67" i="6" l="1"/>
  <c r="AM68" i="6" s="1"/>
  <c r="AH68" i="6" s="1"/>
  <c r="P68" i="6"/>
  <c r="Q68" i="6" s="1"/>
  <c r="S68" i="6" s="1"/>
  <c r="U68" i="6" s="1"/>
  <c r="Z68" i="6"/>
  <c r="AA68" i="6" s="1"/>
  <c r="AB68" i="6" s="1"/>
  <c r="AC68" i="6" s="1"/>
  <c r="V68" i="6"/>
  <c r="X68" i="6" s="1"/>
  <c r="W68" i="6" l="1"/>
  <c r="AD68" i="6"/>
  <c r="AE68" i="6"/>
  <c r="AG68" i="6" s="1"/>
  <c r="AI68" i="6" l="1"/>
  <c r="AN68" i="6" s="1"/>
  <c r="AO68" i="6" s="1"/>
  <c r="AF68" i="6"/>
  <c r="AQ68" i="6" s="1"/>
  <c r="AR68" i="6" l="1"/>
  <c r="AS68" i="6"/>
  <c r="AK68" i="6"/>
  <c r="AJ68" i="6" s="1"/>
  <c r="AL68" i="6" s="1"/>
  <c r="O69" i="6" s="1"/>
  <c r="AM69" i="6" l="1"/>
  <c r="AH69" i="6" s="1"/>
  <c r="Z69" i="6"/>
  <c r="AA69" i="6" s="1"/>
  <c r="T69" i="6"/>
  <c r="P69" i="6"/>
  <c r="Q69" i="6" s="1"/>
  <c r="S69" i="6" s="1"/>
  <c r="U69" i="6" s="1"/>
  <c r="AB69" i="6"/>
  <c r="AC69" i="6" l="1"/>
  <c r="V69" i="6"/>
  <c r="X69" i="6" s="1"/>
  <c r="AD69" i="6" l="1"/>
  <c r="W69" i="6"/>
  <c r="AE69" i="6"/>
  <c r="AG69" i="6" s="1"/>
  <c r="AI69" i="6" l="1"/>
  <c r="AN69" i="6" s="1"/>
  <c r="AO69" i="6" s="1"/>
  <c r="AF69" i="6"/>
  <c r="AQ69" i="6" s="1"/>
  <c r="AR69" i="6" l="1"/>
  <c r="AK69" i="6"/>
  <c r="AJ69" i="6" s="1"/>
  <c r="AL69" i="6" s="1"/>
  <c r="O70" i="6" s="1"/>
  <c r="T70" i="6"/>
  <c r="Z70" i="6"/>
  <c r="AA70" i="6" s="1"/>
  <c r="AB70" i="6" s="1"/>
  <c r="P70" i="6"/>
  <c r="Q70" i="6" s="1"/>
  <c r="S70" i="6" s="1"/>
  <c r="U70" i="6" s="1"/>
  <c r="AS69" i="6" l="1"/>
  <c r="AM70" i="6" s="1"/>
  <c r="AH70" i="6" s="1"/>
  <c r="AC70" i="6"/>
  <c r="V70" i="6"/>
  <c r="X70" i="6" s="1"/>
  <c r="W70" i="6" l="1"/>
  <c r="AD70" i="6"/>
  <c r="AE70" i="6"/>
  <c r="AG70" i="6" s="1"/>
  <c r="AI70" i="6" l="1"/>
  <c r="AN70" i="6" s="1"/>
  <c r="AO70" i="6" s="1"/>
  <c r="AF70" i="6"/>
  <c r="AQ70" i="6" s="1"/>
  <c r="AR70" i="6" l="1"/>
  <c r="AK70" i="6"/>
  <c r="AJ70" i="6" s="1"/>
  <c r="AL70" i="6" s="1"/>
  <c r="O71" i="6" s="1"/>
  <c r="AS70" i="6" l="1"/>
  <c r="AM71" i="6" s="1"/>
  <c r="AH71" i="6" s="1"/>
  <c r="Z71" i="6"/>
  <c r="AA71" i="6" s="1"/>
  <c r="AB71" i="6" s="1"/>
  <c r="T71" i="6"/>
  <c r="P71" i="6"/>
  <c r="Q71" i="6" s="1"/>
  <c r="S71" i="6" s="1"/>
  <c r="U71" i="6" s="1"/>
  <c r="AC71" i="6" l="1"/>
  <c r="V71" i="6"/>
  <c r="X71" i="6" s="1"/>
  <c r="W71" i="6"/>
  <c r="AD71" i="6" l="1"/>
  <c r="AE71" i="6"/>
  <c r="AG71" i="6" s="1"/>
  <c r="AI71" i="6" l="1"/>
  <c r="AN71" i="6" s="1"/>
  <c r="AO71" i="6" s="1"/>
  <c r="AF71" i="6"/>
  <c r="AQ71" i="6" s="1"/>
  <c r="AR71" i="6" l="1"/>
  <c r="AK71" i="6"/>
  <c r="AJ71" i="6" s="1"/>
  <c r="AL71" i="6" s="1"/>
  <c r="O72" i="6" s="1"/>
  <c r="P72" i="6" s="1"/>
  <c r="Q72" i="6" s="1"/>
  <c r="S72" i="6" s="1"/>
  <c r="U72" i="6" s="1"/>
  <c r="Z72" i="6" l="1"/>
  <c r="AA72" i="6" s="1"/>
  <c r="AB72" i="6" s="1"/>
  <c r="AS71" i="6"/>
  <c r="AM72" i="6" s="1"/>
  <c r="AH72" i="6" s="1"/>
  <c r="T72" i="6"/>
  <c r="AC72" i="6"/>
  <c r="V72" i="6"/>
  <c r="W72" i="6" s="1"/>
  <c r="X72" i="6" l="1"/>
  <c r="AD72" i="6" s="1"/>
  <c r="AE72" i="6" s="1"/>
  <c r="AG72" i="6" s="1"/>
  <c r="AI72" i="6" l="1"/>
  <c r="AN72" i="6" s="1"/>
  <c r="AO72" i="6" s="1"/>
  <c r="AF72" i="6"/>
  <c r="AQ72" i="6" s="1"/>
  <c r="AR72" i="6" l="1"/>
  <c r="AS72" i="6"/>
  <c r="AM73" i="6"/>
  <c r="AK72" i="6"/>
  <c r="AJ72" i="6" s="1"/>
  <c r="AL72" i="6" s="1"/>
  <c r="O73" i="6" s="1"/>
  <c r="T73" i="6" s="1"/>
  <c r="AH73" i="6"/>
  <c r="Z73" i="6" l="1"/>
  <c r="AA73" i="6" s="1"/>
  <c r="AB73" i="6" s="1"/>
  <c r="AC73" i="6" s="1"/>
  <c r="P73" i="6"/>
  <c r="Q73" i="6" s="1"/>
  <c r="S73" i="6" s="1"/>
  <c r="U73" i="6" s="1"/>
  <c r="V73" i="6" s="1"/>
  <c r="X73" i="6" s="1"/>
  <c r="AD73" i="6" l="1"/>
  <c r="W73" i="6"/>
  <c r="AE73" i="6"/>
  <c r="AG73" i="6" s="1"/>
  <c r="AI73" i="6" l="1"/>
  <c r="AN73" i="6" s="1"/>
  <c r="AO73" i="6" s="1"/>
  <c r="AF73" i="6"/>
  <c r="AQ73" i="6" s="1"/>
  <c r="AR73" i="6" l="1"/>
  <c r="AK73" i="6"/>
  <c r="AJ73" i="6" s="1"/>
  <c r="AL73" i="6" s="1"/>
  <c r="O74" i="6" s="1"/>
  <c r="AS73" i="6" l="1"/>
  <c r="AM74" i="6" s="1"/>
  <c r="AH74" i="6" s="1"/>
  <c r="T74" i="6"/>
  <c r="Z74" i="6"/>
  <c r="AA74" i="6" s="1"/>
  <c r="AB74" i="6" s="1"/>
  <c r="P74" i="6"/>
  <c r="Q74" i="6" s="1"/>
  <c r="S74" i="6" s="1"/>
  <c r="U74" i="6" s="1"/>
  <c r="AC74" i="6" l="1"/>
  <c r="V74" i="6"/>
  <c r="X74" i="6" s="1"/>
  <c r="AD74" i="6" l="1"/>
  <c r="AE74" i="6" s="1"/>
  <c r="AG74" i="6" s="1"/>
  <c r="W74" i="6"/>
  <c r="AI74" i="6" l="1"/>
  <c r="AN74" i="6" s="1"/>
  <c r="AO74" i="6" s="1"/>
  <c r="AF74" i="6"/>
  <c r="AQ74" i="6" s="1"/>
  <c r="AR74" i="6" l="1"/>
  <c r="AK74" i="6"/>
  <c r="AJ74" i="6" s="1"/>
  <c r="AL74" i="6" s="1"/>
  <c r="O75" i="6" s="1"/>
  <c r="Z75" i="6" s="1"/>
  <c r="AA75" i="6" s="1"/>
  <c r="AB75" i="6" s="1"/>
  <c r="AS74" i="6" l="1"/>
  <c r="AM75" i="6" s="1"/>
  <c r="AH75" i="6" s="1"/>
  <c r="P75" i="6"/>
  <c r="Q75" i="6" s="1"/>
  <c r="S75" i="6" s="1"/>
  <c r="U75" i="6" s="1"/>
  <c r="T75" i="6"/>
  <c r="AC75" i="6"/>
  <c r="V75" i="6" l="1"/>
  <c r="X75" i="6" s="1"/>
  <c r="AD75" i="6" s="1"/>
  <c r="AE75" i="6" s="1"/>
  <c r="AG75" i="6" s="1"/>
  <c r="W75" i="6" l="1"/>
  <c r="AI75" i="6"/>
  <c r="AN75" i="6" s="1"/>
  <c r="AO75" i="6" s="1"/>
  <c r="AF75" i="6"/>
  <c r="AQ75" i="6" s="1"/>
  <c r="AR75" i="6" l="1"/>
  <c r="AK75" i="6"/>
  <c r="AJ75" i="6" s="1"/>
  <c r="AL75" i="6" s="1"/>
  <c r="O76" i="6" s="1"/>
  <c r="T76" i="6" s="1"/>
  <c r="Z76" i="6"/>
  <c r="AA76" i="6" s="1"/>
  <c r="AB76" i="6" s="1"/>
  <c r="P76" i="6"/>
  <c r="Q76" i="6" s="1"/>
  <c r="S76" i="6" s="1"/>
  <c r="U76" i="6" s="1"/>
  <c r="AS75" i="6" l="1"/>
  <c r="AM76" i="6" s="1"/>
  <c r="AH76" i="6" s="1"/>
  <c r="AC76" i="6"/>
  <c r="V76" i="6"/>
  <c r="X76" i="6" s="1"/>
  <c r="W76" i="6" l="1"/>
  <c r="AD76" i="6"/>
  <c r="AE76" i="6"/>
  <c r="AG76" i="6" s="1"/>
  <c r="AI76" i="6" l="1"/>
  <c r="AN76" i="6" s="1"/>
  <c r="AO76" i="6" s="1"/>
  <c r="AF76" i="6"/>
  <c r="AQ76" i="6" s="1"/>
  <c r="AR76" i="6" l="1"/>
  <c r="AK76" i="6"/>
  <c r="AJ76" i="6" s="1"/>
  <c r="AL76" i="6" s="1"/>
  <c r="O77" i="6" s="1"/>
  <c r="AS76" i="6" l="1"/>
  <c r="AM77" i="6" s="1"/>
  <c r="AH77" i="6" s="1"/>
  <c r="P77" i="6"/>
  <c r="Q77" i="6" s="1"/>
  <c r="S77" i="6" s="1"/>
  <c r="U77" i="6" s="1"/>
  <c r="Z77" i="6"/>
  <c r="AA77" i="6" s="1"/>
  <c r="AB77" i="6" s="1"/>
  <c r="T77" i="6"/>
  <c r="AC77" i="6" l="1"/>
  <c r="V77" i="6"/>
  <c r="W77" i="6" s="1"/>
  <c r="X77" i="6" l="1"/>
  <c r="AD77" i="6" l="1"/>
  <c r="AE77" i="6" l="1"/>
  <c r="AG77" i="6" s="1"/>
  <c r="AI77" i="6" l="1"/>
  <c r="AN77" i="6" s="1"/>
  <c r="AO77" i="6" s="1"/>
  <c r="AF77" i="6"/>
  <c r="AQ77" i="6" s="1"/>
  <c r="AR77" i="6" l="1"/>
  <c r="AK77" i="6"/>
  <c r="AJ77" i="6" s="1"/>
  <c r="AL77" i="6" s="1"/>
  <c r="O78" i="6" s="1"/>
  <c r="AS77" i="6" l="1"/>
  <c r="AM78" i="6" s="1"/>
  <c r="AH78" i="6" s="1"/>
  <c r="T78" i="6"/>
  <c r="P78" i="6"/>
  <c r="Q78" i="6" s="1"/>
  <c r="S78" i="6" s="1"/>
  <c r="U78" i="6" s="1"/>
  <c r="Z78" i="6"/>
  <c r="AA78" i="6" s="1"/>
  <c r="AB78" i="6" s="1"/>
  <c r="AC78" i="6" l="1"/>
  <c r="V78" i="6"/>
  <c r="X78" i="6" s="1"/>
  <c r="AD78" i="6" l="1"/>
  <c r="W78" i="6"/>
  <c r="AE78" i="6"/>
  <c r="AG78" i="6" s="1"/>
  <c r="AI78" i="6" l="1"/>
  <c r="AN78" i="6" s="1"/>
  <c r="AO78" i="6" s="1"/>
  <c r="AF78" i="6"/>
  <c r="AQ78" i="6" s="1"/>
  <c r="AR78" i="6" l="1"/>
  <c r="AS78" i="6"/>
  <c r="AM79" i="6"/>
  <c r="AH79" i="6" s="1"/>
  <c r="AK78" i="6"/>
  <c r="AJ78" i="6" s="1"/>
  <c r="AL78" i="6" s="1"/>
  <c r="O79" i="6" s="1"/>
  <c r="T79" i="6" s="1"/>
  <c r="P79" i="6" l="1"/>
  <c r="Q79" i="6" s="1"/>
  <c r="S79" i="6" s="1"/>
  <c r="U79" i="6" s="1"/>
  <c r="Z79" i="6"/>
  <c r="AA79" i="6" s="1"/>
  <c r="AB79" i="6" s="1"/>
  <c r="AC79" i="6" s="1"/>
  <c r="V79" i="6"/>
  <c r="X79" i="6" s="1"/>
  <c r="AD79" i="6" l="1"/>
  <c r="W79" i="6"/>
  <c r="AE79" i="6"/>
  <c r="AG79" i="6" s="1"/>
  <c r="AI79" i="6" l="1"/>
  <c r="AN79" i="6" s="1"/>
  <c r="AO79" i="6" s="1"/>
  <c r="AK79" i="6"/>
  <c r="AJ79" i="6" s="1"/>
  <c r="AL79" i="6" s="1"/>
  <c r="O80" i="6" s="1"/>
  <c r="AF79" i="6"/>
  <c r="AQ79" i="6" s="1"/>
  <c r="AR79" i="6" l="1"/>
  <c r="T80" i="6"/>
  <c r="Z80" i="6"/>
  <c r="AA80" i="6" s="1"/>
  <c r="AB80" i="6" s="1"/>
  <c r="P80" i="6"/>
  <c r="Q80" i="6" s="1"/>
  <c r="S80" i="6" s="1"/>
  <c r="U80" i="6" s="1"/>
  <c r="AS79" i="6" l="1"/>
  <c r="AM80" i="6" s="1"/>
  <c r="AH80" i="6" s="1"/>
  <c r="AC80" i="6"/>
  <c r="V80" i="6"/>
  <c r="W80" i="6" s="1"/>
  <c r="X80" i="6" l="1"/>
  <c r="AD80" i="6" l="1"/>
  <c r="AE80" i="6" l="1"/>
  <c r="AG80" i="6" s="1"/>
  <c r="AI80" i="6" l="1"/>
  <c r="AN80" i="6" s="1"/>
  <c r="AO80" i="6" s="1"/>
  <c r="AF80" i="6"/>
  <c r="AQ80" i="6" s="1"/>
  <c r="AR80" i="6" l="1"/>
  <c r="AK80" i="6"/>
  <c r="AJ80" i="6" s="1"/>
  <c r="AL80" i="6" s="1"/>
  <c r="O81" i="6" s="1"/>
  <c r="AS80" i="6" l="1"/>
  <c r="AM81" i="6" s="1"/>
  <c r="AH81" i="6" s="1"/>
  <c r="Z81" i="6"/>
  <c r="AA81" i="6" s="1"/>
  <c r="AB81" i="6" s="1"/>
  <c r="P81" i="6"/>
  <c r="Q81" i="6" s="1"/>
  <c r="S81" i="6" s="1"/>
  <c r="U81" i="6" s="1"/>
  <c r="T81" i="6"/>
  <c r="V81" i="6" l="1"/>
  <c r="W81" i="6" s="1"/>
  <c r="AC81" i="6"/>
  <c r="X81" i="6" l="1"/>
  <c r="AD81" i="6" s="1"/>
  <c r="AE81" i="6" s="1"/>
  <c r="AG81" i="6" s="1"/>
  <c r="AI81" i="6" l="1"/>
  <c r="AN81" i="6" s="1"/>
  <c r="AO81" i="6" s="1"/>
  <c r="AF81" i="6"/>
  <c r="AQ81" i="6" s="1"/>
  <c r="AR81" i="6" l="1"/>
  <c r="AK81" i="6"/>
  <c r="AJ81" i="6" s="1"/>
  <c r="AL81" i="6" s="1"/>
  <c r="O82" i="6" s="1"/>
  <c r="T82" i="6"/>
  <c r="Z82" i="6"/>
  <c r="P82" i="6"/>
  <c r="AS81" i="6" l="1"/>
  <c r="AM82" i="6" s="1"/>
  <c r="AH82" i="6" s="1"/>
  <c r="Q82" i="6"/>
  <c r="P9" i="6"/>
  <c r="AA82" i="6"/>
  <c r="Z9" i="6"/>
  <c r="R5" i="6" s="1"/>
  <c r="T9" i="6"/>
  <c r="AA9" i="6" l="1"/>
  <c r="AB82" i="6"/>
  <c r="S82" i="6"/>
  <c r="Q9" i="6"/>
  <c r="U82" i="6" l="1"/>
  <c r="S9" i="6"/>
  <c r="AC82" i="6"/>
  <c r="AC9" i="6" l="1"/>
  <c r="U9" i="6"/>
  <c r="V82" i="6"/>
  <c r="V9" i="6" l="1"/>
  <c r="W82" i="6"/>
  <c r="X82" i="6"/>
  <c r="G6" i="6"/>
  <c r="R6" i="6"/>
  <c r="R7" i="6" s="1"/>
  <c r="AD82" i="6" l="1"/>
  <c r="X9" i="6"/>
  <c r="W9" i="6"/>
  <c r="B7" i="6"/>
  <c r="AE82" i="6" l="1"/>
  <c r="AG82" i="6" s="1"/>
  <c r="AI82" i="6" l="1"/>
  <c r="AN82" i="6" s="1"/>
  <c r="AO82" i="6" s="1"/>
  <c r="AF82" i="6"/>
  <c r="AQ82" i="6" s="1"/>
  <c r="AR82" i="6" l="1"/>
  <c r="AS82" i="6" s="1"/>
  <c r="AQ9" i="6"/>
  <c r="AT9" i="6"/>
  <c r="O6" i="6" s="1"/>
  <c r="AK82" i="6"/>
  <c r="AR9" i="6" l="1"/>
  <c r="AK9" i="6"/>
  <c r="AJ82" i="6"/>
  <c r="AJ9" i="6" l="1"/>
  <c r="AL82" i="6"/>
</calcChain>
</file>

<file path=xl/sharedStrings.xml><?xml version="1.0" encoding="utf-8"?>
<sst xmlns="http://schemas.openxmlformats.org/spreadsheetml/2006/main" count="71" uniqueCount="59">
  <si>
    <t>Coupon</t>
  </si>
  <si>
    <t>Month</t>
  </si>
  <si>
    <t>Interest</t>
  </si>
  <si>
    <t>Principal</t>
  </si>
  <si>
    <t>Open Balance</t>
  </si>
  <si>
    <t>Balance</t>
  </si>
  <si>
    <t>Notes</t>
  </si>
  <si>
    <t>Serv Fee</t>
  </si>
  <si>
    <t>Reserve Account</t>
  </si>
  <si>
    <t>Open Bal</t>
  </si>
  <si>
    <t>Int Due</t>
  </si>
  <si>
    <t>Int Paid</t>
  </si>
  <si>
    <t>End Bal</t>
  </si>
  <si>
    <t>Interest Shortfall</t>
  </si>
  <si>
    <t>Principal Paid</t>
  </si>
  <si>
    <t>Ending Balance</t>
  </si>
  <si>
    <t>Bond Amortization</t>
  </si>
  <si>
    <t>Cash Available</t>
  </si>
  <si>
    <t>Initial</t>
  </si>
  <si>
    <t>Collateral Cashflows</t>
  </si>
  <si>
    <t>Required</t>
  </si>
  <si>
    <t>Top-Up</t>
  </si>
  <si>
    <t>XS Release</t>
  </si>
  <si>
    <t>Servicing Fee Due</t>
  </si>
  <si>
    <t>Servicing Fee Paid</t>
  </si>
  <si>
    <t>Servicing Fee</t>
  </si>
  <si>
    <t>Servicing Fee Shortfall</t>
  </si>
  <si>
    <t>Serv Fee Shortfall</t>
  </si>
  <si>
    <t>SMM</t>
  </si>
  <si>
    <t>Adjusted Balance</t>
  </si>
  <si>
    <t>Adjusted Principal</t>
  </si>
  <si>
    <t>Adjusted Interest</t>
  </si>
  <si>
    <t>Prepayments</t>
  </si>
  <si>
    <t>ABS Rate</t>
  </si>
  <si>
    <t>Scheduled Principal</t>
  </si>
  <si>
    <t>Prepaid Principal</t>
  </si>
  <si>
    <t>Loss To Liquidation</t>
  </si>
  <si>
    <t>Cumulative</t>
  </si>
  <si>
    <t>Monthly</t>
  </si>
  <si>
    <t>Scaled</t>
  </si>
  <si>
    <t>Loss Experience</t>
  </si>
  <si>
    <t>Scaling Factor</t>
  </si>
  <si>
    <t>Recovery Percent</t>
  </si>
  <si>
    <t>Lag (months)</t>
  </si>
  <si>
    <t>Drawn</t>
  </si>
  <si>
    <t>Balance After Draw</t>
  </si>
  <si>
    <t>Defaulted Principal</t>
  </si>
  <si>
    <t>Available Cash</t>
  </si>
  <si>
    <t>Default Covered By Avail Cash</t>
  </si>
  <si>
    <t>Uncovered Defaults</t>
  </si>
  <si>
    <t>Covered by Reserve Account</t>
  </si>
  <si>
    <t>Covered Defaults</t>
  </si>
  <si>
    <t>Uncovered</t>
  </si>
  <si>
    <t>-</t>
  </si>
  <si>
    <t>Loss to Liquidation</t>
  </si>
  <si>
    <t>Principal Paydown</t>
  </si>
  <si>
    <t>Defaults</t>
  </si>
  <si>
    <t>Total</t>
  </si>
  <si>
    <t>Scheduled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</si>
</sst>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  <numFmt numFmtId="168" formatCode="0.000%"/>
  </numFmts>
  <fonts count="14" x14ac:knownFonts="1">
    <font>
      <sz val="10"/>
      <name val="Arial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b/>
      <sz val="9"/>
      <color rgb="FF0000FF"/>
      <name val="Arial"/>
      <family val="2"/>
    </font>
    <font>
      <b/>
      <sz val="8"/>
      <name val="Arial"/>
      <family val="2"/>
    </font>
    <font>
      <b/>
      <sz val="10"/>
      <color rgb="FFC0000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165" fontId="5" fillId="0" borderId="0" xfId="1" applyNumberFormat="1" applyFont="1"/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7" borderId="0" xfId="0" applyFont="1" applyFill="1" applyAlignment="1">
      <alignment horizontal="center" wrapText="1"/>
    </xf>
    <xf numFmtId="165" fontId="7" fillId="0" borderId="4" xfId="1" applyNumberFormat="1" applyFont="1" applyBorder="1"/>
    <xf numFmtId="0" fontId="4" fillId="8" borderId="0" xfId="0" applyFont="1" applyFill="1" applyAlignment="1">
      <alignment horizontal="center" wrapText="1"/>
    </xf>
    <xf numFmtId="0" fontId="4" fillId="6" borderId="0" xfId="0" applyFont="1" applyFill="1" applyAlignment="1">
      <alignment horizontal="center"/>
    </xf>
    <xf numFmtId="165" fontId="0" fillId="0" borderId="0" xfId="0" applyNumberFormat="1"/>
    <xf numFmtId="43" fontId="0" fillId="0" borderId="0" xfId="0" applyNumberFormat="1"/>
    <xf numFmtId="0" fontId="4" fillId="6" borderId="2" xfId="0" applyFont="1" applyFill="1" applyBorder="1" applyAlignment="1">
      <alignment horizontal="center"/>
    </xf>
    <xf numFmtId="0" fontId="4" fillId="6" borderId="0" xfId="0" applyFont="1" applyFill="1" applyAlignment="1">
      <alignment horizontal="center" wrapText="1"/>
    </xf>
    <xf numFmtId="10" fontId="0" fillId="0" borderId="0" xfId="2" applyNumberFormat="1" applyFont="1"/>
    <xf numFmtId="10" fontId="0" fillId="0" borderId="0" xfId="0" applyNumberFormat="1"/>
    <xf numFmtId="167" fontId="0" fillId="0" borderId="0" xfId="0" applyNumberFormat="1"/>
    <xf numFmtId="168" fontId="7" fillId="0" borderId="4" xfId="2" applyNumberFormat="1" applyFont="1" applyBorder="1"/>
    <xf numFmtId="9" fontId="11" fillId="0" borderId="0" xfId="2" applyFont="1"/>
    <xf numFmtId="165" fontId="7" fillId="0" borderId="0" xfId="1" applyNumberFormat="1" applyFont="1" applyBorder="1"/>
    <xf numFmtId="0" fontId="4" fillId="3" borderId="0" xfId="0" applyFont="1" applyFill="1" applyAlignment="1">
      <alignment horizontal="center" wrapText="1"/>
    </xf>
    <xf numFmtId="0" fontId="4" fillId="6" borderId="0" xfId="0" applyFont="1" applyFill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0" fontId="6" fillId="0" borderId="5" xfId="0" applyFont="1" applyBorder="1"/>
    <xf numFmtId="0" fontId="12" fillId="0" borderId="0" xfId="0" applyFont="1"/>
    <xf numFmtId="165" fontId="6" fillId="4" borderId="6" xfId="1" applyNumberFormat="1" applyFont="1" applyFill="1" applyBorder="1" applyAlignment="1"/>
    <xf numFmtId="0" fontId="6" fillId="0" borderId="7" xfId="0" applyFont="1" applyBorder="1"/>
    <xf numFmtId="0" fontId="12" fillId="0" borderId="8" xfId="0" applyFont="1" applyBorder="1"/>
    <xf numFmtId="10" fontId="13" fillId="9" borderId="9" xfId="2" applyNumberFormat="1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5" fontId="6" fillId="4" borderId="6" xfId="1" applyNumberFormat="1" applyFont="1" applyFill="1" applyBorder="1" applyAlignment="1">
      <alignment horizontal="center"/>
    </xf>
    <xf numFmtId="10" fontId="6" fillId="4" borderId="6" xfId="0" applyNumberFormat="1" applyFont="1" applyFill="1" applyBorder="1" applyAlignment="1">
      <alignment horizontal="center"/>
    </xf>
    <xf numFmtId="165" fontId="12" fillId="0" borderId="6" xfId="1" applyNumberFormat="1" applyFont="1" applyBorder="1"/>
    <xf numFmtId="165" fontId="12" fillId="0" borderId="9" xfId="1" applyNumberFormat="1" applyFont="1" applyBorder="1"/>
    <xf numFmtId="0" fontId="12" fillId="0" borderId="5" xfId="0" applyFont="1" applyBorder="1"/>
    <xf numFmtId="0" fontId="12" fillId="0" borderId="6" xfId="0" applyFont="1" applyBorder="1"/>
    <xf numFmtId="165" fontId="13" fillId="9" borderId="9" xfId="1" applyNumberFormat="1" applyFont="1" applyFill="1" applyBorder="1" applyAlignment="1">
      <alignment horizontal="center"/>
    </xf>
    <xf numFmtId="0" fontId="6" fillId="0" borderId="1" xfId="0" applyFont="1" applyBorder="1"/>
    <xf numFmtId="165" fontId="13" fillId="9" borderId="6" xfId="1" applyNumberFormat="1" applyFont="1" applyFill="1" applyBorder="1" applyAlignment="1">
      <alignment horizontal="center"/>
    </xf>
    <xf numFmtId="165" fontId="13" fillId="9" borderId="3" xfId="1" applyNumberFormat="1" applyFont="1" applyFill="1" applyBorder="1" applyAlignment="1">
      <alignment horizontal="center"/>
    </xf>
    <xf numFmtId="10" fontId="5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V82"/>
  <sheetViews>
    <sheetView tabSelected="1" topLeftCell="P1" zoomScale="77" workbookViewId="0">
      <selection activeCell="AT13" sqref="AT13:AT82"/>
    </sheetView>
  </sheetViews>
  <sheetFormatPr defaultRowHeight="12.5" x14ac:dyDescent="0.25"/>
  <cols>
    <col min="1" max="1" width="17.7265625" bestFit="1" customWidth="1"/>
    <col min="2" max="2" width="15.1796875" bestFit="1" customWidth="1"/>
    <col min="5" max="5" width="16.453125" bestFit="1" customWidth="1"/>
    <col min="6" max="6" width="7.7265625" bestFit="1" customWidth="1"/>
    <col min="7" max="7" width="8.7265625" bestFit="1" customWidth="1"/>
    <col min="9" max="9" width="15.1796875" bestFit="1" customWidth="1"/>
    <col min="11" max="11" width="14.7265625" customWidth="1"/>
    <col min="12" max="12" width="13.453125" bestFit="1" customWidth="1"/>
    <col min="14" max="14" width="10.90625" bestFit="1" customWidth="1"/>
    <col min="15" max="15" width="13.54296875" bestFit="1" customWidth="1"/>
    <col min="16" max="16" width="13.453125" bestFit="1" customWidth="1"/>
    <col min="17" max="17" width="17.7265625" bestFit="1" customWidth="1"/>
    <col min="18" max="18" width="12.81640625" bestFit="1" customWidth="1"/>
    <col min="19" max="19" width="12.26953125" customWidth="1"/>
    <col min="20" max="20" width="11.26953125" bestFit="1" customWidth="1"/>
    <col min="21" max="21" width="9.81640625" customWidth="1"/>
    <col min="22" max="23" width="9.81640625" bestFit="1" customWidth="1"/>
    <col min="24" max="24" width="13.81640625" bestFit="1" customWidth="1"/>
    <col min="25" max="26" width="14.7265625" bestFit="1" customWidth="1"/>
    <col min="27" max="27" width="15.1796875" bestFit="1" customWidth="1"/>
    <col min="28" max="28" width="11.1796875" bestFit="1" customWidth="1"/>
    <col min="29" max="29" width="13.6328125" bestFit="1" customWidth="1"/>
    <col min="30" max="35" width="12.26953125" customWidth="1"/>
    <col min="36" max="36" width="13.6328125" bestFit="1" customWidth="1"/>
    <col min="37" max="38" width="12.26953125" customWidth="1"/>
    <col min="39" max="41" width="9.7265625" customWidth="1"/>
    <col min="42" max="42" width="11.26953125" bestFit="1" customWidth="1"/>
    <col min="43" max="43" width="13.81640625" bestFit="1" customWidth="1"/>
    <col min="44" max="44" width="12.7265625" bestFit="1" customWidth="1"/>
    <col min="45" max="45" width="9.81640625" bestFit="1" customWidth="1"/>
    <col min="46" max="46" width="13.36328125" bestFit="1" customWidth="1"/>
    <col min="47" max="48" width="10.7265625" bestFit="1" customWidth="1"/>
  </cols>
  <sheetData>
    <row r="1" spans="1:46" ht="13" thickBot="1" x14ac:dyDescent="0.3"/>
    <row r="2" spans="1:46" ht="13" x14ac:dyDescent="0.3">
      <c r="A2" s="36" t="s">
        <v>6</v>
      </c>
      <c r="B2" s="38"/>
      <c r="E2" s="36" t="s">
        <v>40</v>
      </c>
      <c r="F2" s="37"/>
      <c r="G2" s="38"/>
      <c r="N2" s="36" t="s">
        <v>8</v>
      </c>
      <c r="O2" s="38"/>
      <c r="Q2" s="36" t="s">
        <v>55</v>
      </c>
      <c r="R2" s="38"/>
    </row>
    <row r="3" spans="1:46" x14ac:dyDescent="0.25">
      <c r="A3" s="30" t="s">
        <v>5</v>
      </c>
      <c r="B3" s="40">
        <v>430573330</v>
      </c>
      <c r="E3" s="30" t="s">
        <v>41</v>
      </c>
      <c r="F3" s="31"/>
      <c r="G3" s="39">
        <v>1</v>
      </c>
      <c r="N3" s="30" t="s">
        <v>18</v>
      </c>
      <c r="O3" s="40">
        <v>0</v>
      </c>
      <c r="Q3" s="30" t="s">
        <v>33</v>
      </c>
      <c r="R3" s="39">
        <v>1.4E-2</v>
      </c>
    </row>
    <row r="4" spans="1:46" x14ac:dyDescent="0.25">
      <c r="A4" s="30" t="s">
        <v>0</v>
      </c>
      <c r="B4" s="39">
        <v>0.03</v>
      </c>
      <c r="E4" s="30" t="s">
        <v>42</v>
      </c>
      <c r="F4" s="31"/>
      <c r="G4" s="39">
        <v>0.5</v>
      </c>
      <c r="N4" s="30" t="s">
        <v>20</v>
      </c>
      <c r="O4" s="40">
        <v>1000000</v>
      </c>
      <c r="Q4" s="30" t="s">
        <v>58</v>
      </c>
      <c r="R4" s="48">
        <f>Y9</f>
        <v>283513114.57936782</v>
      </c>
    </row>
    <row r="5" spans="1:46" x14ac:dyDescent="0.25">
      <c r="A5" s="30" t="s">
        <v>7</v>
      </c>
      <c r="B5" s="41">
        <v>5.0000000000000001E-3</v>
      </c>
      <c r="E5" s="30" t="s">
        <v>43</v>
      </c>
      <c r="F5" s="31"/>
      <c r="G5" s="32">
        <v>6</v>
      </c>
      <c r="N5" s="44"/>
      <c r="O5" s="45"/>
      <c r="Q5" s="30" t="s">
        <v>32</v>
      </c>
      <c r="R5" s="48">
        <f>Z9</f>
        <v>129056722.98172726</v>
      </c>
    </row>
    <row r="6" spans="1:46" ht="13" thickBot="1" x14ac:dyDescent="0.3">
      <c r="A6" s="30" t="s">
        <v>15</v>
      </c>
      <c r="B6" s="42">
        <v>0</v>
      </c>
      <c r="E6" s="33" t="s">
        <v>54</v>
      </c>
      <c r="F6" s="34"/>
      <c r="G6" s="35">
        <f>AC9/B3</f>
        <v>4.181283694862506E-2</v>
      </c>
      <c r="N6" s="33" t="s">
        <v>22</v>
      </c>
      <c r="O6" s="46">
        <f>AT9</f>
        <v>20640504.384697407</v>
      </c>
      <c r="P6" s="11"/>
      <c r="Q6" s="30" t="s">
        <v>56</v>
      </c>
      <c r="R6" s="48">
        <f>AC9</f>
        <v>18003492.441716529</v>
      </c>
    </row>
    <row r="7" spans="1:46" ht="13" thickBot="1" x14ac:dyDescent="0.3">
      <c r="A7" s="30" t="s">
        <v>13</v>
      </c>
      <c r="B7" s="42">
        <f>SUM(W13:W82)</f>
        <v>0</v>
      </c>
      <c r="Q7" s="47" t="s">
        <v>57</v>
      </c>
      <c r="R7" s="49">
        <f>R4+R5+R6</f>
        <v>430573330.00281161</v>
      </c>
    </row>
    <row r="8" spans="1:46" ht="13" thickBot="1" x14ac:dyDescent="0.3">
      <c r="A8" s="33" t="s">
        <v>27</v>
      </c>
      <c r="B8" s="43">
        <f>R9</f>
        <v>0</v>
      </c>
      <c r="P8" s="11"/>
    </row>
    <row r="9" spans="1:46" ht="13" thickBot="1" x14ac:dyDescent="0.3">
      <c r="F9" s="17">
        <f>SUM(F13:F72)</f>
        <v>8.4500000000000075E-2</v>
      </c>
      <c r="G9" s="17">
        <f>SUM(G13:G72)</f>
        <v>8.4500000000000075E-2</v>
      </c>
      <c r="K9" s="7">
        <f>SUM(K13:K82)</f>
        <v>283513114.57936782</v>
      </c>
      <c r="P9" s="7">
        <f t="shared" ref="P9:AA9" si="0">SUM(P13:P82)</f>
        <v>3160697.6916646273</v>
      </c>
      <c r="Q9" s="7">
        <f t="shared" si="0"/>
        <v>3160697.6916646273</v>
      </c>
      <c r="R9" s="7">
        <f t="shared" si="0"/>
        <v>0</v>
      </c>
      <c r="S9" s="7">
        <f t="shared" si="0"/>
        <v>58608182.976401716</v>
      </c>
      <c r="T9" s="7">
        <f t="shared" si="0"/>
        <v>18964186.149987768</v>
      </c>
      <c r="U9" s="7">
        <f t="shared" si="0"/>
        <v>58608182.976401716</v>
      </c>
      <c r="V9" s="7">
        <f t="shared" si="0"/>
        <v>18964186.149987768</v>
      </c>
      <c r="W9" s="7">
        <f t="shared" si="0"/>
        <v>0</v>
      </c>
      <c r="X9" s="7">
        <f t="shared" si="0"/>
        <v>39643996.826413944</v>
      </c>
      <c r="Y9" s="7">
        <f t="shared" si="0"/>
        <v>283513114.57936782</v>
      </c>
      <c r="Z9" s="7">
        <f t="shared" si="0"/>
        <v>129056722.98172726</v>
      </c>
      <c r="AA9" s="7">
        <f t="shared" si="0"/>
        <v>412569837.56109512</v>
      </c>
      <c r="AB9" s="7"/>
      <c r="AC9" s="7">
        <f>SUM(AC13:AC82)</f>
        <v>18003492.441716529</v>
      </c>
      <c r="AD9" s="19"/>
      <c r="AE9" s="19"/>
      <c r="AF9" s="19"/>
      <c r="AG9" s="19"/>
      <c r="AH9" s="19"/>
      <c r="AI9" s="19"/>
      <c r="AJ9" s="7">
        <f>SUM(AJ13:AJ82)</f>
        <v>18003492.441716529</v>
      </c>
      <c r="AK9" s="7">
        <f>SUM(AK13:AK82)</f>
        <v>0</v>
      </c>
      <c r="AL9" s="19"/>
      <c r="AM9" s="7"/>
      <c r="AP9" s="7"/>
      <c r="AQ9" s="7">
        <f>SUM(AQ13:AQ82)</f>
        <v>22224612.548971944</v>
      </c>
      <c r="AR9" s="7">
        <f>SUM(AR13:AR82)</f>
        <v>1584108.1642745363</v>
      </c>
      <c r="AS9" s="7"/>
      <c r="AT9" s="7">
        <f>SUM(AT13:AT82)</f>
        <v>20640504.384697407</v>
      </c>
    </row>
    <row r="10" spans="1:46" ht="13.5" thickBot="1" x14ac:dyDescent="0.35">
      <c r="B10" s="21" t="s">
        <v>19</v>
      </c>
      <c r="C10" s="21"/>
      <c r="E10" s="28" t="s">
        <v>36</v>
      </c>
      <c r="F10" s="28"/>
      <c r="G10" s="28"/>
      <c r="P10" s="25" t="s">
        <v>25</v>
      </c>
      <c r="Q10" s="26"/>
      <c r="R10" s="26"/>
      <c r="S10" s="27"/>
      <c r="T10" s="22" t="s">
        <v>16</v>
      </c>
      <c r="U10" s="23"/>
      <c r="V10" s="23"/>
      <c r="W10" s="23"/>
      <c r="X10" s="23"/>
      <c r="Y10" s="23"/>
      <c r="Z10" s="23"/>
      <c r="AA10" s="23"/>
      <c r="AB10" s="24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22" t="s">
        <v>8</v>
      </c>
      <c r="AN10" s="23"/>
      <c r="AO10" s="23"/>
      <c r="AP10" s="23"/>
      <c r="AQ10" s="23"/>
      <c r="AR10" s="23"/>
      <c r="AS10" s="23"/>
      <c r="AT10" s="24"/>
    </row>
    <row r="11" spans="1:46" ht="39" x14ac:dyDescent="0.3">
      <c r="A11" s="2" t="s">
        <v>1</v>
      </c>
      <c r="B11" s="4" t="s">
        <v>3</v>
      </c>
      <c r="C11" s="4" t="s">
        <v>2</v>
      </c>
      <c r="E11" s="4" t="s">
        <v>37</v>
      </c>
      <c r="F11" s="4" t="s">
        <v>38</v>
      </c>
      <c r="G11" s="4" t="s">
        <v>39</v>
      </c>
      <c r="I11" s="9" t="s">
        <v>28</v>
      </c>
      <c r="J11" s="13" t="s">
        <v>29</v>
      </c>
      <c r="K11" s="13" t="s">
        <v>30</v>
      </c>
      <c r="L11" s="13" t="s">
        <v>31</v>
      </c>
      <c r="N11" s="2" t="s">
        <v>1</v>
      </c>
      <c r="O11" s="5" t="s">
        <v>9</v>
      </c>
      <c r="P11" s="8" t="s">
        <v>23</v>
      </c>
      <c r="Q11" s="8" t="s">
        <v>24</v>
      </c>
      <c r="R11" s="8" t="s">
        <v>26</v>
      </c>
      <c r="S11" s="8" t="s">
        <v>17</v>
      </c>
      <c r="T11" s="5" t="s">
        <v>10</v>
      </c>
      <c r="U11" s="5" t="s">
        <v>17</v>
      </c>
      <c r="V11" s="5" t="s">
        <v>11</v>
      </c>
      <c r="W11" s="5" t="s">
        <v>13</v>
      </c>
      <c r="X11" s="5" t="s">
        <v>17</v>
      </c>
      <c r="Y11" s="5" t="s">
        <v>34</v>
      </c>
      <c r="Z11" s="5" t="s">
        <v>35</v>
      </c>
      <c r="AA11" s="5" t="s">
        <v>14</v>
      </c>
      <c r="AB11" s="5" t="s">
        <v>12</v>
      </c>
      <c r="AC11" s="20" t="s">
        <v>46</v>
      </c>
      <c r="AD11" s="20" t="s">
        <v>47</v>
      </c>
      <c r="AE11" s="20" t="s">
        <v>48</v>
      </c>
      <c r="AF11" s="20" t="s">
        <v>47</v>
      </c>
      <c r="AG11" s="20" t="s">
        <v>49</v>
      </c>
      <c r="AH11" s="20" t="s">
        <v>8</v>
      </c>
      <c r="AI11" s="20" t="s">
        <v>50</v>
      </c>
      <c r="AJ11" s="20" t="s">
        <v>51</v>
      </c>
      <c r="AK11" s="20" t="s">
        <v>52</v>
      </c>
      <c r="AL11" s="5" t="s">
        <v>15</v>
      </c>
      <c r="AM11" s="6" t="s">
        <v>4</v>
      </c>
      <c r="AN11" s="6" t="s">
        <v>44</v>
      </c>
      <c r="AO11" s="6" t="s">
        <v>45</v>
      </c>
      <c r="AP11" s="6" t="s">
        <v>20</v>
      </c>
      <c r="AQ11" s="6" t="s">
        <v>17</v>
      </c>
      <c r="AR11" s="6" t="s">
        <v>21</v>
      </c>
      <c r="AS11" s="6" t="s">
        <v>15</v>
      </c>
      <c r="AT11" s="6" t="s">
        <v>22</v>
      </c>
    </row>
    <row r="12" spans="1:46" ht="13" x14ac:dyDescent="0.3">
      <c r="J12" s="18">
        <v>1</v>
      </c>
    </row>
    <row r="13" spans="1:46" ht="14.5" x14ac:dyDescent="0.35">
      <c r="A13" s="1">
        <v>1</v>
      </c>
      <c r="B13" s="3">
        <v>9760926.4007880446</v>
      </c>
      <c r="C13" s="3">
        <v>3510373.6070527602</v>
      </c>
      <c r="E13" s="15">
        <v>0</v>
      </c>
      <c r="F13" s="29" t="s">
        <v>53</v>
      </c>
      <c r="G13">
        <v>0</v>
      </c>
      <c r="I13" s="14">
        <f>$R$3/(1-$R$3*(A13-1))</f>
        <v>1.4E-2</v>
      </c>
      <c r="J13" s="50">
        <f>J12*(1-I13)*(1-G13)</f>
        <v>0.98599999999999999</v>
      </c>
      <c r="K13" s="16">
        <f>B13*J12</f>
        <v>9760926.4007880446</v>
      </c>
      <c r="L13" s="16">
        <f>C13*J12</f>
        <v>3510373.6070527602</v>
      </c>
      <c r="N13" s="1">
        <v>1</v>
      </c>
      <c r="O13" s="3">
        <f>B3</f>
        <v>430573330</v>
      </c>
      <c r="P13" s="3">
        <f>O13*ServicingFee/12</f>
        <v>179405.55416666667</v>
      </c>
      <c r="Q13" s="3">
        <f>MIN(P13,L13)</f>
        <v>179405.55416666667</v>
      </c>
      <c r="R13" s="3">
        <f>P13-Q13</f>
        <v>0</v>
      </c>
      <c r="S13" s="3">
        <f>L13-Q13</f>
        <v>3330968.0528860935</v>
      </c>
      <c r="T13" s="3">
        <f>O13*(Coupon/12)</f>
        <v>1076433.325</v>
      </c>
      <c r="U13" s="3">
        <f>S13</f>
        <v>3330968.0528860935</v>
      </c>
      <c r="V13" s="3">
        <f>MIN(T13,U13)</f>
        <v>1076433.325</v>
      </c>
      <c r="W13" s="3">
        <f>T13-V13</f>
        <v>0</v>
      </c>
      <c r="X13" s="3">
        <f>MAX(0,U13-V13)</f>
        <v>2254534.7278860938</v>
      </c>
      <c r="Y13" s="3">
        <f>K13</f>
        <v>9760926.4007880446</v>
      </c>
      <c r="Z13" s="3">
        <f>MAX(0,(O13-Y13)*I13)</f>
        <v>5891373.6503889672</v>
      </c>
      <c r="AA13" s="3">
        <f>Y13+Z13</f>
        <v>15652300.051177012</v>
      </c>
      <c r="AB13" s="3">
        <f>MAX(0,O13-AA13)</f>
        <v>414921029.94882298</v>
      </c>
      <c r="AC13" s="3">
        <f>AB13*G13</f>
        <v>0</v>
      </c>
      <c r="AD13" s="3">
        <f>X13</f>
        <v>2254534.7278860938</v>
      </c>
      <c r="AE13" s="3">
        <f>MIN(AC13,AD13)</f>
        <v>0</v>
      </c>
      <c r="AF13" s="3">
        <f>AD13-AE13</f>
        <v>2254534.7278860938</v>
      </c>
      <c r="AG13" s="3">
        <f>AC13-AE13</f>
        <v>0</v>
      </c>
      <c r="AH13" s="3">
        <f>AM13</f>
        <v>0</v>
      </c>
      <c r="AI13" s="3">
        <f>MIN(AG13,AH12)</f>
        <v>0</v>
      </c>
      <c r="AJ13" s="3">
        <f t="shared" ref="AJ13:AJ76" si="1">AC13-AK13</f>
        <v>0</v>
      </c>
      <c r="AK13" s="3">
        <f t="shared" ref="AK13:AK76" si="2">AG13-AI13</f>
        <v>0</v>
      </c>
      <c r="AL13" s="3">
        <f>AB13-AJ13</f>
        <v>414921029.94882298</v>
      </c>
      <c r="AM13" s="3">
        <f>J3</f>
        <v>0</v>
      </c>
      <c r="AN13" s="3">
        <f>AI13</f>
        <v>0</v>
      </c>
      <c r="AO13" s="3">
        <f>AM13-AN13</f>
        <v>0</v>
      </c>
      <c r="AP13" s="3">
        <f>$O$4</f>
        <v>1000000</v>
      </c>
      <c r="AQ13" s="3">
        <f>AF13</f>
        <v>2254534.7278860938</v>
      </c>
      <c r="AR13" s="3">
        <f>MIN(AP13-AO13,AQ13)</f>
        <v>1000000</v>
      </c>
      <c r="AS13" s="3">
        <f>AO13+AR13</f>
        <v>1000000</v>
      </c>
      <c r="AT13" s="3">
        <f>AQ13-AR13</f>
        <v>1254534.7278860938</v>
      </c>
    </row>
    <row r="14" spans="1:46" ht="14.5" x14ac:dyDescent="0.35">
      <c r="A14" s="1">
        <v>2</v>
      </c>
      <c r="B14" s="3">
        <v>9840256.9192631133</v>
      </c>
      <c r="C14" s="3">
        <v>3431043.088577772</v>
      </c>
      <c r="E14" s="15">
        <v>2.0000000000000001E-4</v>
      </c>
      <c r="F14" s="14">
        <f>ABS(E14-E13)</f>
        <v>2.0000000000000001E-4</v>
      </c>
      <c r="G14" s="14">
        <f>ABS(E13-E14)</f>
        <v>2.0000000000000001E-4</v>
      </c>
      <c r="I14" s="14">
        <f>$R$3/(1-$R$3*(A14-1))</f>
        <v>1.4198782961460446E-2</v>
      </c>
      <c r="J14" s="50">
        <f t="shared" ref="J14:J77" si="3">J13*(1-I14)*(1-G14)</f>
        <v>0.97180560000000005</v>
      </c>
      <c r="K14" s="16">
        <f t="shared" ref="K14:K77" si="4">B14*J13</f>
        <v>9702493.3223934304</v>
      </c>
      <c r="L14" s="16">
        <f t="shared" ref="L14:L77" si="5">C14*J13</f>
        <v>3383008.485337683</v>
      </c>
      <c r="N14" s="1">
        <v>2</v>
      </c>
      <c r="O14" s="3">
        <f>AL13</f>
        <v>414921029.94882298</v>
      </c>
      <c r="P14" s="3">
        <f t="shared" ref="P13:P44" si="6">O14*ServicingFee/12</f>
        <v>172883.76247867625</v>
      </c>
      <c r="Q14" s="3">
        <f t="shared" ref="Q14:Q77" si="7">MIN(P14,L14)</f>
        <v>172883.76247867625</v>
      </c>
      <c r="R14" s="3">
        <v>0</v>
      </c>
      <c r="S14" s="3">
        <f t="shared" ref="S14:S77" si="8">L14-Q14</f>
        <v>3210124.7228590068</v>
      </c>
      <c r="T14" s="3">
        <f t="shared" ref="T14:T44" si="9">O14*(Coupon/12)</f>
        <v>1037302.5748720574</v>
      </c>
      <c r="U14" s="3">
        <f t="shared" ref="U14:U77" si="10">S14</f>
        <v>3210124.7228590068</v>
      </c>
      <c r="V14" s="3">
        <f t="shared" ref="V14:V77" si="11">MIN(T14,U14)</f>
        <v>1037302.5748720574</v>
      </c>
      <c r="W14" s="3">
        <f t="shared" ref="W14:W77" si="12">T14-V14</f>
        <v>0</v>
      </c>
      <c r="X14" s="3">
        <f t="shared" ref="X14:X77" si="13">MAX(0,U14-V14)</f>
        <v>2172822.1479869494</v>
      </c>
      <c r="Y14" s="3">
        <f t="shared" ref="Y14:Y77" si="14">K14</f>
        <v>9702493.3223934304</v>
      </c>
      <c r="Z14" s="3">
        <f t="shared" ref="Z14:Z77" si="15">MAX(0,(O14-Y14)*I14)</f>
        <v>5753610.0535192834</v>
      </c>
      <c r="AA14" s="3">
        <f t="shared" ref="AA14:AA77" si="16">Y14+Z14</f>
        <v>15456103.375912715</v>
      </c>
      <c r="AB14" s="3">
        <f t="shared" ref="AB14:AB77" si="17">MAX(0,O14-AA14)</f>
        <v>399464926.57291025</v>
      </c>
      <c r="AC14" s="3">
        <f t="shared" ref="AC14:AC77" si="18">AB14*G14</f>
        <v>79892.985314582053</v>
      </c>
      <c r="AD14" s="3">
        <f t="shared" ref="AD14:AD77" si="19">X14</f>
        <v>2172822.1479869494</v>
      </c>
      <c r="AE14" s="3">
        <f t="shared" ref="AE14:AE77" si="20">MIN(AC14,AD14)</f>
        <v>79892.985314582053</v>
      </c>
      <c r="AF14" s="3">
        <f t="shared" ref="AF14:AF77" si="21">AD14-AE14</f>
        <v>2092929.1626723674</v>
      </c>
      <c r="AG14" s="3">
        <f t="shared" ref="AG14:AG77" si="22">AC14-AE14</f>
        <v>0</v>
      </c>
      <c r="AH14" s="3">
        <f t="shared" ref="AH14:AH77" si="23">AM14</f>
        <v>1000000</v>
      </c>
      <c r="AI14" s="3">
        <f t="shared" ref="AI14:AI77" si="24">MIN(AG14,AH13)</f>
        <v>0</v>
      </c>
      <c r="AJ14" s="3">
        <f t="shared" si="1"/>
        <v>79892.985314582053</v>
      </c>
      <c r="AK14" s="3">
        <f t="shared" si="2"/>
        <v>0</v>
      </c>
      <c r="AL14" s="3">
        <f t="shared" ref="AL14:AL77" si="25">AB14-AJ14</f>
        <v>399385033.58759564</v>
      </c>
      <c r="AM14" s="3">
        <f>AS13</f>
        <v>1000000</v>
      </c>
      <c r="AN14" s="3">
        <f t="shared" ref="AN14:AN77" si="26">AI14</f>
        <v>0</v>
      </c>
      <c r="AO14" s="3">
        <f t="shared" ref="AO14:AO77" si="27">AM14-AN14</f>
        <v>1000000</v>
      </c>
      <c r="AP14" s="3">
        <f t="shared" ref="AP14:AP77" si="28">$O$4</f>
        <v>1000000</v>
      </c>
      <c r="AQ14" s="3">
        <f t="shared" ref="AQ14:AQ77" si="29">AF14</f>
        <v>2092929.1626723674</v>
      </c>
      <c r="AR14" s="3">
        <f t="shared" ref="AR14:AR77" si="30">MIN(AP14-AO14,AQ14)</f>
        <v>0</v>
      </c>
      <c r="AS14" s="3">
        <f t="shared" ref="AS14:AS77" si="31">AO14+AR14</f>
        <v>1000000</v>
      </c>
      <c r="AT14" s="3">
        <f t="shared" ref="AT14:AT77" si="32">AQ14-AR14</f>
        <v>2092929.1626723674</v>
      </c>
    </row>
    <row r="15" spans="1:46" ht="14.5" x14ac:dyDescent="0.35">
      <c r="A15" s="1">
        <v>3</v>
      </c>
      <c r="B15" s="3">
        <v>9901632.1463263258</v>
      </c>
      <c r="C15" s="3">
        <v>3351040.7029431947</v>
      </c>
      <c r="E15" s="15">
        <v>6.0000000000000006E-4</v>
      </c>
      <c r="F15" s="14">
        <f t="shared" ref="F15:F72" si="33">ABS(E15-E14)</f>
        <v>4.0000000000000007E-4</v>
      </c>
      <c r="G15" s="14">
        <f t="shared" ref="G15:G72" si="34">ABS(E14-E15)</f>
        <v>4.0000000000000007E-4</v>
      </c>
      <c r="I15" s="14">
        <f t="shared" ref="I15:I78" si="35">$R$3/(1-$R$3*(A15-1))</f>
        <v>1.4403292181069959E-2</v>
      </c>
      <c r="J15" s="50">
        <f t="shared" si="3"/>
        <v>0.9574252766400001</v>
      </c>
      <c r="K15" s="16">
        <f t="shared" si="4"/>
        <v>9622461.5689399429</v>
      </c>
      <c r="L15" s="16">
        <f t="shared" si="5"/>
        <v>3256560.1209481331</v>
      </c>
      <c r="N15" s="1">
        <v>3</v>
      </c>
      <c r="O15" s="3">
        <f t="shared" ref="O15:O78" si="36">AL14</f>
        <v>399385033.58759564</v>
      </c>
      <c r="P15" s="3">
        <f t="shared" si="6"/>
        <v>166410.43066149819</v>
      </c>
      <c r="Q15" s="3">
        <f t="shared" si="7"/>
        <v>166410.43066149819</v>
      </c>
      <c r="R15" s="3">
        <v>0</v>
      </c>
      <c r="S15" s="3">
        <f t="shared" si="8"/>
        <v>3090149.690286635</v>
      </c>
      <c r="T15" s="3">
        <f t="shared" si="9"/>
        <v>998462.58396898909</v>
      </c>
      <c r="U15" s="3">
        <f t="shared" si="10"/>
        <v>3090149.690286635</v>
      </c>
      <c r="V15" s="3">
        <f t="shared" si="11"/>
        <v>998462.58396898909</v>
      </c>
      <c r="W15" s="3">
        <f t="shared" si="12"/>
        <v>0</v>
      </c>
      <c r="X15" s="3">
        <f t="shared" si="13"/>
        <v>2091687.1063176459</v>
      </c>
      <c r="Y15" s="3">
        <f t="shared" si="14"/>
        <v>9622461.5689399429</v>
      </c>
      <c r="Z15" s="3">
        <f t="shared" si="15"/>
        <v>5613864.2060300205</v>
      </c>
      <c r="AA15" s="3">
        <f t="shared" si="16"/>
        <v>15236325.774969963</v>
      </c>
      <c r="AB15" s="3">
        <f t="shared" si="17"/>
        <v>384148707.81262571</v>
      </c>
      <c r="AC15" s="3">
        <f t="shared" si="18"/>
        <v>153659.48312505032</v>
      </c>
      <c r="AD15" s="3">
        <f t="shared" si="19"/>
        <v>2091687.1063176459</v>
      </c>
      <c r="AE15" s="3">
        <f t="shared" si="20"/>
        <v>153659.48312505032</v>
      </c>
      <c r="AF15" s="3">
        <f t="shared" si="21"/>
        <v>1938027.6231925956</v>
      </c>
      <c r="AG15" s="3">
        <f t="shared" si="22"/>
        <v>0</v>
      </c>
      <c r="AH15" s="3">
        <f t="shared" si="23"/>
        <v>1000000</v>
      </c>
      <c r="AI15" s="3">
        <f t="shared" si="24"/>
        <v>0</v>
      </c>
      <c r="AJ15" s="3">
        <f t="shared" si="1"/>
        <v>153659.48312505032</v>
      </c>
      <c r="AK15" s="3">
        <f t="shared" si="2"/>
        <v>0</v>
      </c>
      <c r="AL15" s="3">
        <f t="shared" si="25"/>
        <v>383995048.32950068</v>
      </c>
      <c r="AM15" s="3">
        <f t="shared" ref="AM15:AM78" si="37">AS14</f>
        <v>1000000</v>
      </c>
      <c r="AN15" s="3">
        <f t="shared" si="26"/>
        <v>0</v>
      </c>
      <c r="AO15" s="3">
        <f t="shared" si="27"/>
        <v>1000000</v>
      </c>
      <c r="AP15" s="3">
        <f t="shared" si="28"/>
        <v>1000000</v>
      </c>
      <c r="AQ15" s="3">
        <f t="shared" si="29"/>
        <v>1938027.6231925956</v>
      </c>
      <c r="AR15" s="3">
        <f t="shared" si="30"/>
        <v>0</v>
      </c>
      <c r="AS15" s="3">
        <f t="shared" si="31"/>
        <v>1000000</v>
      </c>
      <c r="AT15" s="3">
        <f t="shared" si="32"/>
        <v>1938027.6231925956</v>
      </c>
    </row>
    <row r="16" spans="1:46" ht="14.5" x14ac:dyDescent="0.35">
      <c r="A16" s="1">
        <v>4</v>
      </c>
      <c r="B16" s="3">
        <v>9945754.4068952017</v>
      </c>
      <c r="C16" s="3">
        <v>3270493.5474914308</v>
      </c>
      <c r="E16" s="15">
        <v>8.0000000000000004E-4</v>
      </c>
      <c r="F16" s="14">
        <f t="shared" si="33"/>
        <v>1.9999999999999998E-4</v>
      </c>
      <c r="G16" s="14">
        <f t="shared" si="34"/>
        <v>1.9999999999999998E-4</v>
      </c>
      <c r="I16" s="14">
        <f t="shared" si="35"/>
        <v>1.4613778705636744E-2</v>
      </c>
      <c r="J16" s="50">
        <f t="shared" si="3"/>
        <v>0.94324498878489615</v>
      </c>
      <c r="K16" s="16">
        <f t="shared" si="4"/>
        <v>9522316.6644151378</v>
      </c>
      <c r="L16" s="16">
        <f t="shared" si="5"/>
        <v>3131253.1894563185</v>
      </c>
      <c r="N16" s="1">
        <v>4</v>
      </c>
      <c r="O16" s="3">
        <f t="shared" si="36"/>
        <v>383995048.32950068</v>
      </c>
      <c r="P16" s="3">
        <f t="shared" si="6"/>
        <v>159997.93680395861</v>
      </c>
      <c r="Q16" s="3">
        <f t="shared" si="7"/>
        <v>159997.93680395861</v>
      </c>
      <c r="R16" s="3">
        <v>0</v>
      </c>
      <c r="S16" s="3">
        <f t="shared" si="8"/>
        <v>2971255.2526523601</v>
      </c>
      <c r="T16" s="3">
        <f t="shared" si="9"/>
        <v>959987.62082375167</v>
      </c>
      <c r="U16" s="3">
        <f t="shared" si="10"/>
        <v>2971255.2526523601</v>
      </c>
      <c r="V16" s="3">
        <f t="shared" si="11"/>
        <v>959987.62082375167</v>
      </c>
      <c r="W16" s="3">
        <f t="shared" si="12"/>
        <v>0</v>
      </c>
      <c r="X16" s="3">
        <f t="shared" si="13"/>
        <v>2011267.6318286085</v>
      </c>
      <c r="Y16" s="3">
        <f t="shared" si="14"/>
        <v>9522316.6644151378</v>
      </c>
      <c r="Z16" s="3">
        <f t="shared" si="15"/>
        <v>5472461.6318488503</v>
      </c>
      <c r="AA16" s="3">
        <f t="shared" si="16"/>
        <v>14994778.296263989</v>
      </c>
      <c r="AB16" s="3">
        <f t="shared" si="17"/>
        <v>369000270.03323668</v>
      </c>
      <c r="AC16" s="3">
        <f t="shared" si="18"/>
        <v>73800.054006647333</v>
      </c>
      <c r="AD16" s="3">
        <f t="shared" si="19"/>
        <v>2011267.6318286085</v>
      </c>
      <c r="AE16" s="3">
        <f t="shared" si="20"/>
        <v>73800.054006647333</v>
      </c>
      <c r="AF16" s="3">
        <f t="shared" si="21"/>
        <v>1937467.5778219611</v>
      </c>
      <c r="AG16" s="3">
        <f t="shared" si="22"/>
        <v>0</v>
      </c>
      <c r="AH16" s="3">
        <f t="shared" si="23"/>
        <v>1000000</v>
      </c>
      <c r="AI16" s="3">
        <f t="shared" si="24"/>
        <v>0</v>
      </c>
      <c r="AJ16" s="3">
        <f t="shared" si="1"/>
        <v>73800.054006647333</v>
      </c>
      <c r="AK16" s="3">
        <f t="shared" si="2"/>
        <v>0</v>
      </c>
      <c r="AL16" s="3">
        <f t="shared" si="25"/>
        <v>368926469.97923005</v>
      </c>
      <c r="AM16" s="3">
        <f t="shared" si="37"/>
        <v>1000000</v>
      </c>
      <c r="AN16" s="3">
        <f t="shared" si="26"/>
        <v>0</v>
      </c>
      <c r="AO16" s="3">
        <f t="shared" si="27"/>
        <v>1000000</v>
      </c>
      <c r="AP16" s="3">
        <f t="shared" si="28"/>
        <v>1000000</v>
      </c>
      <c r="AQ16" s="3">
        <f t="shared" si="29"/>
        <v>1937467.5778219611</v>
      </c>
      <c r="AR16" s="3">
        <f t="shared" si="30"/>
        <v>0</v>
      </c>
      <c r="AS16" s="3">
        <f t="shared" si="31"/>
        <v>1000000</v>
      </c>
      <c r="AT16" s="3">
        <f t="shared" si="32"/>
        <v>1937467.5778219611</v>
      </c>
    </row>
    <row r="17" spans="1:48" ht="14.5" x14ac:dyDescent="0.35">
      <c r="A17" s="1">
        <v>5</v>
      </c>
      <c r="B17" s="3">
        <v>9972451.3734951038</v>
      </c>
      <c r="C17" s="3">
        <v>3189530.9995763614</v>
      </c>
      <c r="E17" s="15">
        <v>3.5499999999999998E-3</v>
      </c>
      <c r="F17" s="14">
        <f t="shared" si="33"/>
        <v>2.7499999999999998E-3</v>
      </c>
      <c r="G17" s="14">
        <f t="shared" si="34"/>
        <v>2.7499999999999998E-3</v>
      </c>
      <c r="I17" s="14">
        <f t="shared" si="35"/>
        <v>1.4830508474576272E-2</v>
      </c>
      <c r="J17" s="50">
        <f t="shared" si="3"/>
        <v>0.92670073147366105</v>
      </c>
      <c r="K17" s="16">
        <f t="shared" si="4"/>
        <v>9406464.7839503121</v>
      </c>
      <c r="L17" s="16">
        <f t="shared" si="5"/>
        <v>3008509.1319244835</v>
      </c>
      <c r="N17" s="1">
        <v>5</v>
      </c>
      <c r="O17" s="3">
        <f t="shared" si="36"/>
        <v>368926469.97923005</v>
      </c>
      <c r="P17" s="3">
        <f t="shared" si="6"/>
        <v>153719.36249134585</v>
      </c>
      <c r="Q17" s="3">
        <f t="shared" si="7"/>
        <v>153719.36249134585</v>
      </c>
      <c r="R17" s="3">
        <v>0</v>
      </c>
      <c r="S17" s="3">
        <f t="shared" si="8"/>
        <v>2854789.7694331375</v>
      </c>
      <c r="T17" s="3">
        <f t="shared" si="9"/>
        <v>922316.17494807509</v>
      </c>
      <c r="U17" s="3">
        <f t="shared" si="10"/>
        <v>2854789.7694331375</v>
      </c>
      <c r="V17" s="3">
        <f t="shared" si="11"/>
        <v>922316.17494807509</v>
      </c>
      <c r="W17" s="3">
        <f t="shared" si="12"/>
        <v>0</v>
      </c>
      <c r="X17" s="3">
        <f t="shared" si="13"/>
        <v>1932473.5944850624</v>
      </c>
      <c r="Y17" s="3">
        <f t="shared" si="14"/>
        <v>9406464.7839503121</v>
      </c>
      <c r="Z17" s="3">
        <f t="shared" si="15"/>
        <v>5331864.4838283006</v>
      </c>
      <c r="AA17" s="3">
        <f t="shared" si="16"/>
        <v>14738329.267778613</v>
      </c>
      <c r="AB17" s="3">
        <f t="shared" si="17"/>
        <v>354188140.71145141</v>
      </c>
      <c r="AC17" s="3">
        <f t="shared" si="18"/>
        <v>974017.38695649127</v>
      </c>
      <c r="AD17" s="3">
        <f t="shared" si="19"/>
        <v>1932473.5944850624</v>
      </c>
      <c r="AE17" s="3">
        <f t="shared" si="20"/>
        <v>974017.38695649127</v>
      </c>
      <c r="AF17" s="3">
        <f t="shared" si="21"/>
        <v>958456.20752857113</v>
      </c>
      <c r="AG17" s="3">
        <f t="shared" si="22"/>
        <v>0</v>
      </c>
      <c r="AH17" s="3">
        <f t="shared" si="23"/>
        <v>1000000</v>
      </c>
      <c r="AI17" s="3">
        <f t="shared" si="24"/>
        <v>0</v>
      </c>
      <c r="AJ17" s="3">
        <f t="shared" si="1"/>
        <v>974017.38695649127</v>
      </c>
      <c r="AK17" s="3">
        <f t="shared" si="2"/>
        <v>0</v>
      </c>
      <c r="AL17" s="3">
        <f t="shared" si="25"/>
        <v>353214123.3244949</v>
      </c>
      <c r="AM17" s="3">
        <f t="shared" si="37"/>
        <v>1000000</v>
      </c>
      <c r="AN17" s="3">
        <f t="shared" si="26"/>
        <v>0</v>
      </c>
      <c r="AO17" s="3">
        <f t="shared" si="27"/>
        <v>1000000</v>
      </c>
      <c r="AP17" s="3">
        <f t="shared" si="28"/>
        <v>1000000</v>
      </c>
      <c r="AQ17" s="3">
        <f t="shared" si="29"/>
        <v>958456.20752857113</v>
      </c>
      <c r="AR17" s="3">
        <f t="shared" si="30"/>
        <v>0</v>
      </c>
      <c r="AS17" s="3">
        <f t="shared" si="31"/>
        <v>1000000</v>
      </c>
      <c r="AT17" s="3">
        <f t="shared" si="32"/>
        <v>958456.20752857113</v>
      </c>
      <c r="AV17" s="3"/>
    </row>
    <row r="18" spans="1:48" ht="14.5" x14ac:dyDescent="0.35">
      <c r="A18" s="1">
        <v>6</v>
      </c>
      <c r="B18" s="3">
        <v>10002255.352142954</v>
      </c>
      <c r="C18" s="3">
        <v>3108299.5466114325</v>
      </c>
      <c r="E18" s="15">
        <v>9.049999999999999E-3</v>
      </c>
      <c r="F18" s="14">
        <f t="shared" si="33"/>
        <v>5.4999999999999997E-3</v>
      </c>
      <c r="G18" s="14">
        <f t="shared" si="34"/>
        <v>5.4999999999999997E-3</v>
      </c>
      <c r="I18" s="14">
        <f t="shared" si="35"/>
        <v>1.5053763440860216E-2</v>
      </c>
      <c r="J18" s="50">
        <f t="shared" si="3"/>
        <v>0.90773027069323586</v>
      </c>
      <c r="K18" s="16">
        <f t="shared" si="4"/>
        <v>9269097.3512172177</v>
      </c>
      <c r="L18" s="16">
        <f t="shared" si="5"/>
        <v>2880463.4634840633</v>
      </c>
      <c r="N18" s="1">
        <v>6</v>
      </c>
      <c r="O18" s="3">
        <f t="shared" si="36"/>
        <v>353214123.3244949</v>
      </c>
      <c r="P18" s="3">
        <f t="shared" si="6"/>
        <v>147172.5513852062</v>
      </c>
      <c r="Q18" s="3">
        <f t="shared" si="7"/>
        <v>147172.5513852062</v>
      </c>
      <c r="R18" s="3">
        <v>0</v>
      </c>
      <c r="S18" s="3">
        <f t="shared" si="8"/>
        <v>2733290.9120988571</v>
      </c>
      <c r="T18" s="3">
        <f t="shared" si="9"/>
        <v>883035.30831123726</v>
      </c>
      <c r="U18" s="3">
        <f t="shared" si="10"/>
        <v>2733290.9120988571</v>
      </c>
      <c r="V18" s="3">
        <f t="shared" si="11"/>
        <v>883035.30831123726</v>
      </c>
      <c r="W18" s="3">
        <f t="shared" si="12"/>
        <v>0</v>
      </c>
      <c r="X18" s="3">
        <f t="shared" si="13"/>
        <v>1850255.6037876199</v>
      </c>
      <c r="Y18" s="3">
        <f t="shared" si="14"/>
        <v>9269097.3512172177</v>
      </c>
      <c r="Z18" s="3">
        <f t="shared" si="15"/>
        <v>5177667.0576622449</v>
      </c>
      <c r="AA18" s="3">
        <f t="shared" si="16"/>
        <v>14446764.408879463</v>
      </c>
      <c r="AB18" s="3">
        <f t="shared" si="17"/>
        <v>338767358.91561544</v>
      </c>
      <c r="AC18" s="3">
        <f t="shared" si="18"/>
        <v>1863220.4740358847</v>
      </c>
      <c r="AD18" s="3">
        <f t="shared" si="19"/>
        <v>1850255.6037876199</v>
      </c>
      <c r="AE18" s="3">
        <f t="shared" si="20"/>
        <v>1850255.6037876199</v>
      </c>
      <c r="AF18" s="3">
        <f t="shared" si="21"/>
        <v>0</v>
      </c>
      <c r="AG18" s="3">
        <f t="shared" si="22"/>
        <v>12964.870248264866</v>
      </c>
      <c r="AH18" s="3">
        <f t="shared" si="23"/>
        <v>1000000</v>
      </c>
      <c r="AI18" s="3">
        <f t="shared" si="24"/>
        <v>12964.870248264866</v>
      </c>
      <c r="AJ18" s="3">
        <f t="shared" si="1"/>
        <v>1863220.4740358847</v>
      </c>
      <c r="AK18" s="3">
        <f t="shared" si="2"/>
        <v>0</v>
      </c>
      <c r="AL18" s="3">
        <f t="shared" si="25"/>
        <v>336904138.44157958</v>
      </c>
      <c r="AM18" s="3">
        <f t="shared" si="37"/>
        <v>1000000</v>
      </c>
      <c r="AN18" s="3">
        <f t="shared" si="26"/>
        <v>12964.870248264866</v>
      </c>
      <c r="AO18" s="3">
        <f t="shared" si="27"/>
        <v>987035.12975173513</v>
      </c>
      <c r="AP18" s="3">
        <f t="shared" si="28"/>
        <v>1000000</v>
      </c>
      <c r="AQ18" s="3">
        <f t="shared" si="29"/>
        <v>0</v>
      </c>
      <c r="AR18" s="3">
        <f t="shared" si="30"/>
        <v>0</v>
      </c>
      <c r="AS18" s="3">
        <f t="shared" si="31"/>
        <v>987035.12975173513</v>
      </c>
      <c r="AT18" s="3">
        <f t="shared" si="32"/>
        <v>0</v>
      </c>
      <c r="AU18" s="10"/>
      <c r="AV18" s="3"/>
    </row>
    <row r="19" spans="1:48" ht="14.5" x14ac:dyDescent="0.35">
      <c r="A19" s="1">
        <v>7</v>
      </c>
      <c r="B19" s="3">
        <v>10027511.280700974</v>
      </c>
      <c r="C19" s="3">
        <v>3026769.9073300436</v>
      </c>
      <c r="E19" s="15">
        <v>1.18E-2</v>
      </c>
      <c r="F19" s="14">
        <f t="shared" si="33"/>
        <v>2.7500000000000007E-3</v>
      </c>
      <c r="G19" s="14">
        <f t="shared" si="34"/>
        <v>2.7500000000000007E-3</v>
      </c>
      <c r="I19" s="14">
        <f t="shared" si="35"/>
        <v>1.5283842794759825E-2</v>
      </c>
      <c r="J19" s="50">
        <f t="shared" si="3"/>
        <v>0.89139855811009183</v>
      </c>
      <c r="K19" s="16">
        <f t="shared" si="4"/>
        <v>9102275.5292101707</v>
      </c>
      <c r="L19" s="16">
        <f t="shared" si="5"/>
        <v>2747490.6673068409</v>
      </c>
      <c r="N19" s="1">
        <v>7</v>
      </c>
      <c r="O19" s="3">
        <f t="shared" si="36"/>
        <v>336904138.44157958</v>
      </c>
      <c r="P19" s="3">
        <f t="shared" si="6"/>
        <v>140376.72435065816</v>
      </c>
      <c r="Q19" s="3">
        <f t="shared" si="7"/>
        <v>140376.72435065816</v>
      </c>
      <c r="R19" s="3">
        <v>0</v>
      </c>
      <c r="S19" s="3">
        <f t="shared" si="8"/>
        <v>2607113.9429561826</v>
      </c>
      <c r="T19" s="3">
        <f t="shared" si="9"/>
        <v>842260.34610394901</v>
      </c>
      <c r="U19" s="3">
        <f t="shared" si="10"/>
        <v>2607113.9429561826</v>
      </c>
      <c r="V19" s="3">
        <f t="shared" si="11"/>
        <v>842260.34610394901</v>
      </c>
      <c r="W19" s="3">
        <f t="shared" si="12"/>
        <v>0</v>
      </c>
      <c r="X19" s="3">
        <f t="shared" si="13"/>
        <v>1764853.5968522336</v>
      </c>
      <c r="Y19" s="3">
        <f t="shared" si="14"/>
        <v>9102275.5292101707</v>
      </c>
      <c r="Z19" s="3">
        <f t="shared" si="15"/>
        <v>5010072.1405820651</v>
      </c>
      <c r="AA19" s="3">
        <f t="shared" si="16"/>
        <v>14112347.669792235</v>
      </c>
      <c r="AB19" s="3">
        <f t="shared" si="17"/>
        <v>322791790.77178735</v>
      </c>
      <c r="AC19" s="3">
        <f t="shared" si="18"/>
        <v>887677.42462241545</v>
      </c>
      <c r="AD19" s="3">
        <f t="shared" si="19"/>
        <v>1764853.5968522336</v>
      </c>
      <c r="AE19" s="3">
        <f t="shared" si="20"/>
        <v>887677.42462241545</v>
      </c>
      <c r="AF19" s="3">
        <f t="shared" si="21"/>
        <v>877176.17222981818</v>
      </c>
      <c r="AG19" s="3">
        <f t="shared" si="22"/>
        <v>0</v>
      </c>
      <c r="AH19" s="3">
        <f t="shared" si="23"/>
        <v>987035.12975173513</v>
      </c>
      <c r="AI19" s="3">
        <f t="shared" si="24"/>
        <v>0</v>
      </c>
      <c r="AJ19" s="3">
        <f t="shared" si="1"/>
        <v>887677.42462241545</v>
      </c>
      <c r="AK19" s="3">
        <f t="shared" si="2"/>
        <v>0</v>
      </c>
      <c r="AL19" s="3">
        <f t="shared" si="25"/>
        <v>321904113.34716493</v>
      </c>
      <c r="AM19" s="3">
        <f t="shared" si="37"/>
        <v>987035.12975173513</v>
      </c>
      <c r="AN19" s="3">
        <f t="shared" si="26"/>
        <v>0</v>
      </c>
      <c r="AO19" s="3">
        <f t="shared" si="27"/>
        <v>987035.12975173513</v>
      </c>
      <c r="AP19" s="3">
        <f t="shared" si="28"/>
        <v>1000000</v>
      </c>
      <c r="AQ19" s="3">
        <f t="shared" si="29"/>
        <v>877176.17222981818</v>
      </c>
      <c r="AR19" s="3">
        <f t="shared" si="30"/>
        <v>12964.870248264866</v>
      </c>
      <c r="AS19" s="3">
        <f t="shared" si="31"/>
        <v>1000000</v>
      </c>
      <c r="AT19" s="3">
        <f t="shared" si="32"/>
        <v>864211.30198155332</v>
      </c>
      <c r="AV19" s="3"/>
    </row>
    <row r="20" spans="1:48" ht="14.5" x14ac:dyDescent="0.35">
      <c r="A20" s="1">
        <v>8</v>
      </c>
      <c r="B20" s="3">
        <v>10054820.859038683</v>
      </c>
      <c r="C20" s="3">
        <v>2944977.5143823777</v>
      </c>
      <c r="E20" s="15">
        <v>1.4725E-2</v>
      </c>
      <c r="F20" s="14">
        <f t="shared" si="33"/>
        <v>2.9250000000000005E-3</v>
      </c>
      <c r="G20" s="14">
        <f t="shared" si="34"/>
        <v>2.9250000000000005E-3</v>
      </c>
      <c r="I20" s="14">
        <f t="shared" si="35"/>
        <v>1.5521064301552106E-2</v>
      </c>
      <c r="J20" s="50">
        <f t="shared" si="3"/>
        <v>0.87499623169282315</v>
      </c>
      <c r="K20" s="16">
        <f t="shared" si="4"/>
        <v>8962852.8158023562</v>
      </c>
      <c r="L20" s="16">
        <f t="shared" si="5"/>
        <v>2625148.7099870937</v>
      </c>
      <c r="N20" s="1">
        <v>8</v>
      </c>
      <c r="O20" s="3">
        <f t="shared" si="36"/>
        <v>321904113.34716493</v>
      </c>
      <c r="P20" s="3">
        <f t="shared" si="6"/>
        <v>134126.71389465206</v>
      </c>
      <c r="Q20" s="3">
        <f t="shared" si="7"/>
        <v>134126.71389465206</v>
      </c>
      <c r="R20" s="3">
        <v>0</v>
      </c>
      <c r="S20" s="3">
        <f t="shared" si="8"/>
        <v>2491021.9960924415</v>
      </c>
      <c r="T20" s="3">
        <f t="shared" si="9"/>
        <v>804760.28336791229</v>
      </c>
      <c r="U20" s="3">
        <f t="shared" si="10"/>
        <v>2491021.9960924415</v>
      </c>
      <c r="V20" s="3">
        <f t="shared" si="11"/>
        <v>804760.28336791229</v>
      </c>
      <c r="W20" s="3">
        <f t="shared" si="12"/>
        <v>0</v>
      </c>
      <c r="X20" s="3">
        <f t="shared" si="13"/>
        <v>1686261.7127245292</v>
      </c>
      <c r="Y20" s="3">
        <f t="shared" si="14"/>
        <v>8962852.8158023562</v>
      </c>
      <c r="Z20" s="3">
        <f t="shared" si="15"/>
        <v>4857181.4273160491</v>
      </c>
      <c r="AA20" s="3">
        <f t="shared" si="16"/>
        <v>13820034.243118405</v>
      </c>
      <c r="AB20" s="3">
        <f t="shared" si="17"/>
        <v>308084079.10404652</v>
      </c>
      <c r="AC20" s="3">
        <f t="shared" si="18"/>
        <v>901145.93137933628</v>
      </c>
      <c r="AD20" s="3">
        <f t="shared" si="19"/>
        <v>1686261.7127245292</v>
      </c>
      <c r="AE20" s="3">
        <f t="shared" si="20"/>
        <v>901145.93137933628</v>
      </c>
      <c r="AF20" s="3">
        <f t="shared" si="21"/>
        <v>785115.78134519293</v>
      </c>
      <c r="AG20" s="3">
        <f t="shared" si="22"/>
        <v>0</v>
      </c>
      <c r="AH20" s="3">
        <f t="shared" si="23"/>
        <v>1000000</v>
      </c>
      <c r="AI20" s="3">
        <f t="shared" si="24"/>
        <v>0</v>
      </c>
      <c r="AJ20" s="3">
        <f t="shared" si="1"/>
        <v>901145.93137933628</v>
      </c>
      <c r="AK20" s="3">
        <f t="shared" si="2"/>
        <v>0</v>
      </c>
      <c r="AL20" s="3">
        <f t="shared" si="25"/>
        <v>307182933.17266721</v>
      </c>
      <c r="AM20" s="3">
        <f t="shared" si="37"/>
        <v>1000000</v>
      </c>
      <c r="AN20" s="3">
        <f t="shared" si="26"/>
        <v>0</v>
      </c>
      <c r="AO20" s="3">
        <f t="shared" si="27"/>
        <v>1000000</v>
      </c>
      <c r="AP20" s="3">
        <f t="shared" si="28"/>
        <v>1000000</v>
      </c>
      <c r="AQ20" s="3">
        <f t="shared" si="29"/>
        <v>785115.78134519293</v>
      </c>
      <c r="AR20" s="3">
        <f t="shared" si="30"/>
        <v>0</v>
      </c>
      <c r="AS20" s="3">
        <f t="shared" si="31"/>
        <v>1000000</v>
      </c>
      <c r="AT20" s="3">
        <f t="shared" si="32"/>
        <v>785115.78134519293</v>
      </c>
    </row>
    <row r="21" spans="1:48" ht="14.5" x14ac:dyDescent="0.35">
      <c r="A21" s="1">
        <v>9</v>
      </c>
      <c r="B21" s="3">
        <v>10076137.135990338</v>
      </c>
      <c r="C21" s="3">
        <v>2862934.679128319</v>
      </c>
      <c r="E21" s="15">
        <v>2.0575E-2</v>
      </c>
      <c r="F21" s="14">
        <f t="shared" si="33"/>
        <v>5.8499999999999993E-3</v>
      </c>
      <c r="G21" s="14">
        <f t="shared" si="34"/>
        <v>5.8499999999999993E-3</v>
      </c>
      <c r="I21" s="14">
        <f t="shared" si="35"/>
        <v>1.5765765765765764E-2</v>
      </c>
      <c r="J21" s="50">
        <f t="shared" si="3"/>
        <v>0.85616321876858692</v>
      </c>
      <c r="K21" s="16">
        <f t="shared" si="4"/>
        <v>8816582.0240116622</v>
      </c>
      <c r="L21" s="16">
        <f t="shared" si="5"/>
        <v>2505057.0558199808</v>
      </c>
      <c r="N21" s="1">
        <v>9</v>
      </c>
      <c r="O21" s="3">
        <f t="shared" si="36"/>
        <v>307182933.17266721</v>
      </c>
      <c r="P21" s="3">
        <f t="shared" si="6"/>
        <v>127992.88882194467</v>
      </c>
      <c r="Q21" s="3">
        <f t="shared" si="7"/>
        <v>127992.88882194467</v>
      </c>
      <c r="R21" s="3">
        <v>0</v>
      </c>
      <c r="S21" s="3">
        <f t="shared" si="8"/>
        <v>2377064.1669980362</v>
      </c>
      <c r="T21" s="3">
        <f t="shared" si="9"/>
        <v>767957.33293166803</v>
      </c>
      <c r="U21" s="3">
        <f t="shared" si="10"/>
        <v>2377064.1669980362</v>
      </c>
      <c r="V21" s="3">
        <f t="shared" si="11"/>
        <v>767957.33293166803</v>
      </c>
      <c r="W21" s="3">
        <f t="shared" si="12"/>
        <v>0</v>
      </c>
      <c r="X21" s="3">
        <f t="shared" si="13"/>
        <v>1609106.8340663682</v>
      </c>
      <c r="Y21" s="3">
        <f t="shared" si="14"/>
        <v>8816582.0240116622</v>
      </c>
      <c r="Z21" s="3">
        <f t="shared" si="15"/>
        <v>4703974.0045959204</v>
      </c>
      <c r="AA21" s="3">
        <f t="shared" si="16"/>
        <v>13520556.028607583</v>
      </c>
      <c r="AB21" s="3">
        <f t="shared" si="17"/>
        <v>293662377.1440596</v>
      </c>
      <c r="AC21" s="3">
        <f t="shared" si="18"/>
        <v>1717924.9062927484</v>
      </c>
      <c r="AD21" s="3">
        <f t="shared" si="19"/>
        <v>1609106.8340663682</v>
      </c>
      <c r="AE21" s="3">
        <f t="shared" si="20"/>
        <v>1609106.8340663682</v>
      </c>
      <c r="AF21" s="3">
        <f t="shared" si="21"/>
        <v>0</v>
      </c>
      <c r="AG21" s="3">
        <f t="shared" si="22"/>
        <v>108818.07222638023</v>
      </c>
      <c r="AH21" s="3">
        <f t="shared" si="23"/>
        <v>1000000</v>
      </c>
      <c r="AI21" s="3">
        <f t="shared" si="24"/>
        <v>108818.07222638023</v>
      </c>
      <c r="AJ21" s="3">
        <f t="shared" si="1"/>
        <v>1717924.9062927484</v>
      </c>
      <c r="AK21" s="3">
        <f t="shared" si="2"/>
        <v>0</v>
      </c>
      <c r="AL21" s="3">
        <f t="shared" si="25"/>
        <v>291944452.23776686</v>
      </c>
      <c r="AM21" s="3">
        <f t="shared" si="37"/>
        <v>1000000</v>
      </c>
      <c r="AN21" s="3">
        <f t="shared" si="26"/>
        <v>108818.07222638023</v>
      </c>
      <c r="AO21" s="3">
        <f t="shared" si="27"/>
        <v>891181.92777361977</v>
      </c>
      <c r="AP21" s="3">
        <f t="shared" si="28"/>
        <v>1000000</v>
      </c>
      <c r="AQ21" s="3">
        <f t="shared" si="29"/>
        <v>0</v>
      </c>
      <c r="AR21" s="3">
        <f t="shared" si="30"/>
        <v>0</v>
      </c>
      <c r="AS21" s="3">
        <f t="shared" si="31"/>
        <v>891181.92777361977</v>
      </c>
      <c r="AT21" s="3">
        <f t="shared" si="32"/>
        <v>0</v>
      </c>
    </row>
    <row r="22" spans="1:48" ht="14.5" x14ac:dyDescent="0.35">
      <c r="A22" s="1">
        <v>10</v>
      </c>
      <c r="B22" s="3">
        <v>10108884.72864821</v>
      </c>
      <c r="C22" s="3">
        <v>2780690.3386119111</v>
      </c>
      <c r="E22" s="15">
        <v>2.35E-2</v>
      </c>
      <c r="F22" s="14">
        <f t="shared" si="33"/>
        <v>2.9250000000000005E-3</v>
      </c>
      <c r="G22" s="14">
        <f t="shared" si="34"/>
        <v>2.9250000000000005E-3</v>
      </c>
      <c r="I22" s="14">
        <f t="shared" si="35"/>
        <v>1.6018306636155607E-2</v>
      </c>
      <c r="J22" s="50">
        <f t="shared" si="3"/>
        <v>0.8399847706683895</v>
      </c>
      <c r="K22" s="16">
        <f t="shared" si="4"/>
        <v>8654855.2874400653</v>
      </c>
      <c r="L22" s="16">
        <f t="shared" si="5"/>
        <v>2380724.7907046857</v>
      </c>
      <c r="N22" s="1">
        <v>10</v>
      </c>
      <c r="O22" s="3">
        <f t="shared" si="36"/>
        <v>291944452.23776686</v>
      </c>
      <c r="P22" s="3">
        <f t="shared" si="6"/>
        <v>121643.52176573621</v>
      </c>
      <c r="Q22" s="3">
        <f t="shared" si="7"/>
        <v>121643.52176573621</v>
      </c>
      <c r="R22" s="3">
        <v>0</v>
      </c>
      <c r="S22" s="3">
        <f t="shared" si="8"/>
        <v>2259081.2689389493</v>
      </c>
      <c r="T22" s="3">
        <f t="shared" si="9"/>
        <v>729861.13059441722</v>
      </c>
      <c r="U22" s="3">
        <f t="shared" si="10"/>
        <v>2259081.2689389493</v>
      </c>
      <c r="V22" s="3">
        <f t="shared" si="11"/>
        <v>729861.13059441722</v>
      </c>
      <c r="W22" s="3">
        <f t="shared" si="12"/>
        <v>0</v>
      </c>
      <c r="X22" s="3">
        <f t="shared" si="13"/>
        <v>1529220.1383445321</v>
      </c>
      <c r="Y22" s="3">
        <f t="shared" si="14"/>
        <v>8654855.2874400653</v>
      </c>
      <c r="Z22" s="3">
        <f t="shared" si="15"/>
        <v>4537819.6307832673</v>
      </c>
      <c r="AA22" s="3">
        <f t="shared" si="16"/>
        <v>13192674.918223333</v>
      </c>
      <c r="AB22" s="3">
        <f t="shared" si="17"/>
        <v>278751777.31954354</v>
      </c>
      <c r="AC22" s="3">
        <f t="shared" si="18"/>
        <v>815348.94865966495</v>
      </c>
      <c r="AD22" s="3">
        <f t="shared" si="19"/>
        <v>1529220.1383445321</v>
      </c>
      <c r="AE22" s="3">
        <f t="shared" si="20"/>
        <v>815348.94865966495</v>
      </c>
      <c r="AF22" s="3">
        <f t="shared" si="21"/>
        <v>713871.18968486716</v>
      </c>
      <c r="AG22" s="3">
        <f t="shared" si="22"/>
        <v>0</v>
      </c>
      <c r="AH22" s="3">
        <f t="shared" si="23"/>
        <v>891181.92777361977</v>
      </c>
      <c r="AI22" s="3">
        <f t="shared" si="24"/>
        <v>0</v>
      </c>
      <c r="AJ22" s="3">
        <f t="shared" si="1"/>
        <v>815348.94865966495</v>
      </c>
      <c r="AK22" s="3">
        <f t="shared" si="2"/>
        <v>0</v>
      </c>
      <c r="AL22" s="3">
        <f t="shared" si="25"/>
        <v>277936428.37088388</v>
      </c>
      <c r="AM22" s="3">
        <f t="shared" si="37"/>
        <v>891181.92777361977</v>
      </c>
      <c r="AN22" s="3">
        <f t="shared" si="26"/>
        <v>0</v>
      </c>
      <c r="AO22" s="3">
        <f t="shared" si="27"/>
        <v>891181.92777361977</v>
      </c>
      <c r="AP22" s="3">
        <f t="shared" si="28"/>
        <v>1000000</v>
      </c>
      <c r="AQ22" s="3">
        <f t="shared" si="29"/>
        <v>713871.18968486716</v>
      </c>
      <c r="AR22" s="3">
        <f t="shared" si="30"/>
        <v>108818.07222638023</v>
      </c>
      <c r="AS22" s="3">
        <f t="shared" si="31"/>
        <v>1000000</v>
      </c>
      <c r="AT22" s="3">
        <f t="shared" si="32"/>
        <v>605053.11745848693</v>
      </c>
    </row>
    <row r="23" spans="1:48" ht="14.5" x14ac:dyDescent="0.35">
      <c r="A23" s="1">
        <v>11</v>
      </c>
      <c r="B23" s="3">
        <v>10136877.504230423</v>
      </c>
      <c r="C23" s="3">
        <v>2698155.7389953942</v>
      </c>
      <c r="E23" s="15">
        <v>2.7E-2</v>
      </c>
      <c r="F23" s="14">
        <f t="shared" si="33"/>
        <v>3.4999999999999996E-3</v>
      </c>
      <c r="G23" s="14">
        <f t="shared" si="34"/>
        <v>3.4999999999999996E-3</v>
      </c>
      <c r="I23" s="14">
        <f t="shared" si="35"/>
        <v>1.627906976744186E-2</v>
      </c>
      <c r="J23" s="50">
        <f t="shared" si="3"/>
        <v>0.82341851288314927</v>
      </c>
      <c r="K23" s="16">
        <f t="shared" si="4"/>
        <v>8514822.7256845478</v>
      </c>
      <c r="L23" s="16">
        <f t="shared" si="5"/>
        <v>2266409.7296476453</v>
      </c>
      <c r="N23" s="1">
        <v>11</v>
      </c>
      <c r="O23" s="3">
        <f t="shared" si="36"/>
        <v>277936428.37088388</v>
      </c>
      <c r="P23" s="3">
        <f t="shared" si="6"/>
        <v>115806.84515453495</v>
      </c>
      <c r="Q23" s="3">
        <f t="shared" si="7"/>
        <v>115806.84515453495</v>
      </c>
      <c r="R23" s="3">
        <v>0</v>
      </c>
      <c r="S23" s="3">
        <f t="shared" si="8"/>
        <v>2150602.8844931102</v>
      </c>
      <c r="T23" s="3">
        <f t="shared" si="9"/>
        <v>694841.07092720969</v>
      </c>
      <c r="U23" s="3">
        <f t="shared" si="10"/>
        <v>2150602.8844931102</v>
      </c>
      <c r="V23" s="3">
        <f t="shared" si="11"/>
        <v>694841.07092720969</v>
      </c>
      <c r="W23" s="3">
        <f t="shared" si="12"/>
        <v>0</v>
      </c>
      <c r="X23" s="3">
        <f t="shared" si="13"/>
        <v>1455761.8135659005</v>
      </c>
      <c r="Y23" s="3">
        <f t="shared" si="14"/>
        <v>8514822.7256845478</v>
      </c>
      <c r="Z23" s="3">
        <f t="shared" si="15"/>
        <v>4385933.1151544079</v>
      </c>
      <c r="AA23" s="3">
        <f t="shared" si="16"/>
        <v>12900755.840838956</v>
      </c>
      <c r="AB23" s="3">
        <f t="shared" si="17"/>
        <v>265035672.53004491</v>
      </c>
      <c r="AC23" s="3">
        <f t="shared" si="18"/>
        <v>927624.85385515715</v>
      </c>
      <c r="AD23" s="3">
        <f t="shared" si="19"/>
        <v>1455761.8135659005</v>
      </c>
      <c r="AE23" s="3">
        <f t="shared" si="20"/>
        <v>927624.85385515715</v>
      </c>
      <c r="AF23" s="3">
        <f t="shared" si="21"/>
        <v>528136.95971074339</v>
      </c>
      <c r="AG23" s="3">
        <f t="shared" si="22"/>
        <v>0</v>
      </c>
      <c r="AH23" s="3">
        <f t="shared" si="23"/>
        <v>1000000</v>
      </c>
      <c r="AI23" s="3">
        <f t="shared" si="24"/>
        <v>0</v>
      </c>
      <c r="AJ23" s="3">
        <f t="shared" si="1"/>
        <v>927624.85385515715</v>
      </c>
      <c r="AK23" s="3">
        <f t="shared" si="2"/>
        <v>0</v>
      </c>
      <c r="AL23" s="3">
        <f t="shared" si="25"/>
        <v>264108047.67618975</v>
      </c>
      <c r="AM23" s="3">
        <f t="shared" si="37"/>
        <v>1000000</v>
      </c>
      <c r="AN23" s="3">
        <f t="shared" si="26"/>
        <v>0</v>
      </c>
      <c r="AO23" s="3">
        <f t="shared" si="27"/>
        <v>1000000</v>
      </c>
      <c r="AP23" s="3">
        <f t="shared" si="28"/>
        <v>1000000</v>
      </c>
      <c r="AQ23" s="3">
        <f t="shared" si="29"/>
        <v>528136.95971074339</v>
      </c>
      <c r="AR23" s="3">
        <f t="shared" si="30"/>
        <v>0</v>
      </c>
      <c r="AS23" s="3">
        <f t="shared" si="31"/>
        <v>1000000</v>
      </c>
      <c r="AT23" s="3">
        <f t="shared" si="32"/>
        <v>528136.95971074339</v>
      </c>
    </row>
    <row r="24" spans="1:48" ht="14.5" x14ac:dyDescent="0.35">
      <c r="A24" s="1">
        <v>12</v>
      </c>
      <c r="B24" s="3">
        <v>10143912.505192818</v>
      </c>
      <c r="C24" s="3">
        <v>2615374.7762873294</v>
      </c>
      <c r="E24" s="15">
        <v>3.4000000000000002E-2</v>
      </c>
      <c r="F24" s="14">
        <f t="shared" si="33"/>
        <v>7.0000000000000027E-3</v>
      </c>
      <c r="G24" s="14">
        <f t="shared" si="34"/>
        <v>7.0000000000000027E-3</v>
      </c>
      <c r="I24" s="14">
        <f t="shared" si="35"/>
        <v>1.6548463356973995E-2</v>
      </c>
      <c r="J24" s="50">
        <f t="shared" si="3"/>
        <v>0.80412365638268168</v>
      </c>
      <c r="K24" s="16">
        <f t="shared" si="4"/>
        <v>8352685.3498426517</v>
      </c>
      <c r="L24" s="16">
        <f t="shared" si="5"/>
        <v>2153548.0089226118</v>
      </c>
      <c r="N24" s="1">
        <v>12</v>
      </c>
      <c r="O24" s="3">
        <f t="shared" si="36"/>
        <v>264108047.67618975</v>
      </c>
      <c r="P24" s="3">
        <f t="shared" si="6"/>
        <v>110045.01986507907</v>
      </c>
      <c r="Q24" s="3">
        <f t="shared" si="7"/>
        <v>110045.01986507907</v>
      </c>
      <c r="R24" s="3">
        <v>0</v>
      </c>
      <c r="S24" s="3">
        <f t="shared" si="8"/>
        <v>2043502.9890575327</v>
      </c>
      <c r="T24" s="3">
        <f t="shared" si="9"/>
        <v>660270.11919047439</v>
      </c>
      <c r="U24" s="3">
        <f t="shared" si="10"/>
        <v>2043502.9890575327</v>
      </c>
      <c r="V24" s="3">
        <f t="shared" si="11"/>
        <v>660270.11919047439</v>
      </c>
      <c r="W24" s="3">
        <f t="shared" si="12"/>
        <v>0</v>
      </c>
      <c r="X24" s="3">
        <f t="shared" si="13"/>
        <v>1383232.8698670585</v>
      </c>
      <c r="Y24" s="3">
        <f t="shared" si="14"/>
        <v>8352685.3498426517</v>
      </c>
      <c r="Z24" s="3">
        <f t="shared" si="15"/>
        <v>4232358.2418071628</v>
      </c>
      <c r="AA24" s="3">
        <f t="shared" si="16"/>
        <v>12585043.591649815</v>
      </c>
      <c r="AB24" s="3">
        <f t="shared" si="17"/>
        <v>251523004.08453995</v>
      </c>
      <c r="AC24" s="3">
        <f t="shared" si="18"/>
        <v>1760661.0285917802</v>
      </c>
      <c r="AD24" s="3">
        <f t="shared" si="19"/>
        <v>1383232.8698670585</v>
      </c>
      <c r="AE24" s="3">
        <f t="shared" si="20"/>
        <v>1383232.8698670585</v>
      </c>
      <c r="AF24" s="3">
        <f t="shared" si="21"/>
        <v>0</v>
      </c>
      <c r="AG24" s="3">
        <f t="shared" si="22"/>
        <v>377428.15872472175</v>
      </c>
      <c r="AH24" s="3">
        <f t="shared" si="23"/>
        <v>1000000</v>
      </c>
      <c r="AI24" s="3">
        <f t="shared" si="24"/>
        <v>377428.15872472175</v>
      </c>
      <c r="AJ24" s="3">
        <f t="shared" si="1"/>
        <v>1760661.0285917802</v>
      </c>
      <c r="AK24" s="3">
        <f t="shared" si="2"/>
        <v>0</v>
      </c>
      <c r="AL24" s="3">
        <f t="shared" si="25"/>
        <v>249762343.05594817</v>
      </c>
      <c r="AM24" s="3">
        <f t="shared" si="37"/>
        <v>1000000</v>
      </c>
      <c r="AN24" s="3">
        <f t="shared" si="26"/>
        <v>377428.15872472175</v>
      </c>
      <c r="AO24" s="3">
        <f t="shared" si="27"/>
        <v>622571.84127527825</v>
      </c>
      <c r="AP24" s="3">
        <f t="shared" si="28"/>
        <v>1000000</v>
      </c>
      <c r="AQ24" s="3">
        <f t="shared" si="29"/>
        <v>0</v>
      </c>
      <c r="AR24" s="3">
        <f t="shared" si="30"/>
        <v>0</v>
      </c>
      <c r="AS24" s="3">
        <f t="shared" si="31"/>
        <v>622571.84127527825</v>
      </c>
      <c r="AT24" s="3">
        <f t="shared" si="32"/>
        <v>0</v>
      </c>
    </row>
    <row r="25" spans="1:48" ht="14.5" x14ac:dyDescent="0.35">
      <c r="A25" s="1">
        <v>13</v>
      </c>
      <c r="B25" s="3">
        <v>10147067.653684454</v>
      </c>
      <c r="C25" s="3">
        <v>2532537.5284529938</v>
      </c>
      <c r="E25" s="15">
        <v>3.7499999999999999E-2</v>
      </c>
      <c r="F25" s="14">
        <f t="shared" si="33"/>
        <v>3.4999999999999962E-3</v>
      </c>
      <c r="G25" s="14">
        <f t="shared" si="34"/>
        <v>3.4999999999999962E-3</v>
      </c>
      <c r="I25" s="14">
        <f t="shared" si="35"/>
        <v>1.682692307692308E-2</v>
      </c>
      <c r="J25" s="50">
        <f t="shared" si="3"/>
        <v>0.78782565491924272</v>
      </c>
      <c r="K25" s="16">
        <f t="shared" si="4"/>
        <v>8159497.1432431825</v>
      </c>
      <c r="L25" s="16">
        <f t="shared" si="5"/>
        <v>2036473.3373059812</v>
      </c>
      <c r="N25" s="1">
        <v>13</v>
      </c>
      <c r="O25" s="3">
        <f t="shared" si="36"/>
        <v>249762343.05594817</v>
      </c>
      <c r="P25" s="3">
        <f t="shared" si="6"/>
        <v>104067.64293997841</v>
      </c>
      <c r="Q25" s="3">
        <f t="shared" si="7"/>
        <v>104067.64293997841</v>
      </c>
      <c r="R25" s="3">
        <v>0</v>
      </c>
      <c r="S25" s="3">
        <f t="shared" si="8"/>
        <v>1932405.6943660027</v>
      </c>
      <c r="T25" s="3">
        <f t="shared" si="9"/>
        <v>624405.85763987049</v>
      </c>
      <c r="U25" s="3">
        <f t="shared" si="10"/>
        <v>1932405.6943660027</v>
      </c>
      <c r="V25" s="3">
        <f t="shared" si="11"/>
        <v>624405.85763987049</v>
      </c>
      <c r="W25" s="3">
        <f t="shared" si="12"/>
        <v>0</v>
      </c>
      <c r="X25" s="3">
        <f t="shared" si="13"/>
        <v>1307999.8367261323</v>
      </c>
      <c r="Y25" s="3">
        <f t="shared" si="14"/>
        <v>8159497.1432431825</v>
      </c>
      <c r="Z25" s="3">
        <f t="shared" si="15"/>
        <v>4065432.5033387863</v>
      </c>
      <c r="AA25" s="3">
        <f t="shared" si="16"/>
        <v>12224929.646581968</v>
      </c>
      <c r="AB25" s="3">
        <f t="shared" si="17"/>
        <v>237537413.40936619</v>
      </c>
      <c r="AC25" s="3">
        <f t="shared" si="18"/>
        <v>831380.94693278079</v>
      </c>
      <c r="AD25" s="3">
        <f t="shared" si="19"/>
        <v>1307999.8367261323</v>
      </c>
      <c r="AE25" s="3">
        <f t="shared" si="20"/>
        <v>831380.94693278079</v>
      </c>
      <c r="AF25" s="3">
        <f t="shared" si="21"/>
        <v>476618.88979335153</v>
      </c>
      <c r="AG25" s="3">
        <f t="shared" si="22"/>
        <v>0</v>
      </c>
      <c r="AH25" s="3">
        <f t="shared" si="23"/>
        <v>622571.84127527825</v>
      </c>
      <c r="AI25" s="3">
        <f t="shared" si="24"/>
        <v>0</v>
      </c>
      <c r="AJ25" s="3">
        <f t="shared" si="1"/>
        <v>831380.94693278079</v>
      </c>
      <c r="AK25" s="3">
        <f t="shared" si="2"/>
        <v>0</v>
      </c>
      <c r="AL25" s="3">
        <f t="shared" si="25"/>
        <v>236706032.4624334</v>
      </c>
      <c r="AM25" s="3">
        <f t="shared" si="37"/>
        <v>622571.84127527825</v>
      </c>
      <c r="AN25" s="3">
        <f t="shared" si="26"/>
        <v>0</v>
      </c>
      <c r="AO25" s="3">
        <f t="shared" si="27"/>
        <v>622571.84127527825</v>
      </c>
      <c r="AP25" s="3">
        <f t="shared" si="28"/>
        <v>1000000</v>
      </c>
      <c r="AQ25" s="3">
        <f t="shared" si="29"/>
        <v>476618.88979335153</v>
      </c>
      <c r="AR25" s="3">
        <f t="shared" si="30"/>
        <v>377428.15872472175</v>
      </c>
      <c r="AS25" s="3">
        <f t="shared" si="31"/>
        <v>1000000</v>
      </c>
      <c r="AT25" s="3">
        <f t="shared" si="32"/>
        <v>99190.731068629771</v>
      </c>
    </row>
    <row r="26" spans="1:48" ht="14.5" x14ac:dyDescent="0.35">
      <c r="A26" s="1">
        <v>14</v>
      </c>
      <c r="B26" s="3">
        <v>10144706.997950362</v>
      </c>
      <c r="C26" s="3">
        <v>2449665.3246066673</v>
      </c>
      <c r="E26" s="15">
        <v>4.0375000000000001E-2</v>
      </c>
      <c r="F26" s="14">
        <f t="shared" si="33"/>
        <v>2.8750000000000026E-3</v>
      </c>
      <c r="G26" s="14">
        <f t="shared" si="34"/>
        <v>2.8750000000000026E-3</v>
      </c>
      <c r="I26" s="14">
        <f t="shared" si="35"/>
        <v>1.7114914425427872E-2</v>
      </c>
      <c r="J26" s="50">
        <f t="shared" si="3"/>
        <v>0.77211585275516537</v>
      </c>
      <c r="K26" s="16">
        <f t="shared" si="4"/>
        <v>7992260.4346240684</v>
      </c>
      <c r="L26" s="16">
        <f t="shared" si="5"/>
        <v>1929909.188691207</v>
      </c>
      <c r="N26" s="1">
        <v>14</v>
      </c>
      <c r="O26" s="3">
        <f t="shared" si="36"/>
        <v>236706032.4624334</v>
      </c>
      <c r="P26" s="3">
        <f t="shared" si="6"/>
        <v>98627.513526013921</v>
      </c>
      <c r="Q26" s="3">
        <f t="shared" si="7"/>
        <v>98627.513526013921</v>
      </c>
      <c r="R26" s="3">
        <v>0</v>
      </c>
      <c r="S26" s="3">
        <f t="shared" si="8"/>
        <v>1831281.6751651932</v>
      </c>
      <c r="T26" s="3">
        <f t="shared" si="9"/>
        <v>591765.0811560835</v>
      </c>
      <c r="U26" s="3">
        <f t="shared" si="10"/>
        <v>1831281.6751651932</v>
      </c>
      <c r="V26" s="3">
        <f t="shared" si="11"/>
        <v>591765.0811560835</v>
      </c>
      <c r="W26" s="3">
        <f t="shared" si="12"/>
        <v>0</v>
      </c>
      <c r="X26" s="3">
        <f t="shared" si="13"/>
        <v>1239516.5940091098</v>
      </c>
      <c r="Y26" s="3">
        <f t="shared" si="14"/>
        <v>7992260.4346240684</v>
      </c>
      <c r="Z26" s="3">
        <f t="shared" si="15"/>
        <v>3914416.6361727756</v>
      </c>
      <c r="AA26" s="3">
        <f t="shared" si="16"/>
        <v>11906677.070796844</v>
      </c>
      <c r="AB26" s="3">
        <f t="shared" si="17"/>
        <v>224799355.39163655</v>
      </c>
      <c r="AC26" s="3">
        <f t="shared" si="18"/>
        <v>646298.14675095561</v>
      </c>
      <c r="AD26" s="3">
        <f t="shared" si="19"/>
        <v>1239516.5940091098</v>
      </c>
      <c r="AE26" s="3">
        <f t="shared" si="20"/>
        <v>646298.14675095561</v>
      </c>
      <c r="AF26" s="3">
        <f t="shared" si="21"/>
        <v>593218.44725815416</v>
      </c>
      <c r="AG26" s="3">
        <f t="shared" si="22"/>
        <v>0</v>
      </c>
      <c r="AH26" s="3">
        <f t="shared" si="23"/>
        <v>1000000</v>
      </c>
      <c r="AI26" s="3">
        <f t="shared" si="24"/>
        <v>0</v>
      </c>
      <c r="AJ26" s="3">
        <f t="shared" si="1"/>
        <v>646298.14675095561</v>
      </c>
      <c r="AK26" s="3">
        <f t="shared" si="2"/>
        <v>0</v>
      </c>
      <c r="AL26" s="3">
        <f t="shared" si="25"/>
        <v>224153057.24488559</v>
      </c>
      <c r="AM26" s="3">
        <f t="shared" si="37"/>
        <v>1000000</v>
      </c>
      <c r="AN26" s="3">
        <f t="shared" si="26"/>
        <v>0</v>
      </c>
      <c r="AO26" s="3">
        <f t="shared" si="27"/>
        <v>1000000</v>
      </c>
      <c r="AP26" s="3">
        <f t="shared" si="28"/>
        <v>1000000</v>
      </c>
      <c r="AQ26" s="3">
        <f t="shared" si="29"/>
        <v>593218.44725815416</v>
      </c>
      <c r="AR26" s="3">
        <f t="shared" si="30"/>
        <v>0</v>
      </c>
      <c r="AS26" s="3">
        <f t="shared" si="31"/>
        <v>1000000</v>
      </c>
      <c r="AT26" s="3">
        <f t="shared" si="32"/>
        <v>593218.44725815416</v>
      </c>
    </row>
    <row r="27" spans="1:48" ht="14.5" x14ac:dyDescent="0.35">
      <c r="A27" s="1">
        <v>15</v>
      </c>
      <c r="B27" s="3">
        <v>10141116.090798525</v>
      </c>
      <c r="C27" s="3">
        <v>2366798.7972836052</v>
      </c>
      <c r="E27" s="15">
        <v>4.6124999999999999E-2</v>
      </c>
      <c r="F27" s="14">
        <f t="shared" si="33"/>
        <v>5.7499999999999982E-3</v>
      </c>
      <c r="G27" s="14">
        <f t="shared" si="34"/>
        <v>5.7499999999999982E-3</v>
      </c>
      <c r="I27" s="14">
        <f t="shared" si="35"/>
        <v>1.7412935323383085E-2</v>
      </c>
      <c r="J27" s="50">
        <f t="shared" si="3"/>
        <v>0.75430869081522423</v>
      </c>
      <c r="K27" s="16">
        <f t="shared" si="4"/>
        <v>7830116.498336032</v>
      </c>
      <c r="L27" s="16">
        <f t="shared" si="5"/>
        <v>1827442.8716645306</v>
      </c>
      <c r="N27" s="1">
        <v>15</v>
      </c>
      <c r="O27" s="3">
        <f t="shared" si="36"/>
        <v>224153057.24488559</v>
      </c>
      <c r="P27" s="3">
        <f t="shared" si="6"/>
        <v>93397.107185369008</v>
      </c>
      <c r="Q27" s="3">
        <f t="shared" si="7"/>
        <v>93397.107185369008</v>
      </c>
      <c r="R27" s="3">
        <v>0</v>
      </c>
      <c r="S27" s="3">
        <f t="shared" si="8"/>
        <v>1734045.7644791617</v>
      </c>
      <c r="T27" s="3">
        <f t="shared" si="9"/>
        <v>560382.64311221405</v>
      </c>
      <c r="U27" s="3">
        <f t="shared" si="10"/>
        <v>1734045.7644791617</v>
      </c>
      <c r="V27" s="3">
        <f t="shared" si="11"/>
        <v>560382.64311221405</v>
      </c>
      <c r="W27" s="3">
        <f t="shared" si="12"/>
        <v>0</v>
      </c>
      <c r="X27" s="3">
        <f t="shared" si="13"/>
        <v>1173663.1213669477</v>
      </c>
      <c r="Y27" s="3">
        <f t="shared" si="14"/>
        <v>7830116.498336032</v>
      </c>
      <c r="Z27" s="3">
        <f t="shared" si="15"/>
        <v>3766817.3761836989</v>
      </c>
      <c r="AA27" s="3">
        <f t="shared" si="16"/>
        <v>11596933.874519732</v>
      </c>
      <c r="AB27" s="3">
        <f t="shared" si="17"/>
        <v>212556123.37036586</v>
      </c>
      <c r="AC27" s="3">
        <f t="shared" si="18"/>
        <v>1222197.7093796034</v>
      </c>
      <c r="AD27" s="3">
        <f t="shared" si="19"/>
        <v>1173663.1213669477</v>
      </c>
      <c r="AE27" s="3">
        <f t="shared" si="20"/>
        <v>1173663.1213669477</v>
      </c>
      <c r="AF27" s="3">
        <f t="shared" si="21"/>
        <v>0</v>
      </c>
      <c r="AG27" s="3">
        <f t="shared" si="22"/>
        <v>48534.588012655731</v>
      </c>
      <c r="AH27" s="3">
        <f t="shared" si="23"/>
        <v>1000000</v>
      </c>
      <c r="AI27" s="3">
        <f t="shared" si="24"/>
        <v>48534.588012655731</v>
      </c>
      <c r="AJ27" s="3">
        <f t="shared" si="1"/>
        <v>1222197.7093796034</v>
      </c>
      <c r="AK27" s="3">
        <f t="shared" si="2"/>
        <v>0</v>
      </c>
      <c r="AL27" s="3">
        <f t="shared" si="25"/>
        <v>211333925.66098624</v>
      </c>
      <c r="AM27" s="3">
        <f t="shared" si="37"/>
        <v>1000000</v>
      </c>
      <c r="AN27" s="3">
        <f t="shared" si="26"/>
        <v>48534.588012655731</v>
      </c>
      <c r="AO27" s="3">
        <f t="shared" si="27"/>
        <v>951465.41198734427</v>
      </c>
      <c r="AP27" s="3">
        <f t="shared" si="28"/>
        <v>1000000</v>
      </c>
      <c r="AQ27" s="3">
        <f t="shared" si="29"/>
        <v>0</v>
      </c>
      <c r="AR27" s="3">
        <f t="shared" si="30"/>
        <v>0</v>
      </c>
      <c r="AS27" s="3">
        <f t="shared" si="31"/>
        <v>951465.41198734427</v>
      </c>
      <c r="AT27" s="3">
        <f t="shared" si="32"/>
        <v>0</v>
      </c>
    </row>
    <row r="28" spans="1:48" ht="14.5" x14ac:dyDescent="0.35">
      <c r="A28" s="1">
        <v>16</v>
      </c>
      <c r="B28" s="3">
        <v>10128904.42618243</v>
      </c>
      <c r="C28" s="3">
        <v>2283966.2788879192</v>
      </c>
      <c r="E28" s="15">
        <v>4.9000000000000002E-2</v>
      </c>
      <c r="F28" s="14">
        <f t="shared" si="33"/>
        <v>2.8750000000000026E-3</v>
      </c>
      <c r="G28" s="14">
        <f t="shared" si="34"/>
        <v>2.8750000000000026E-3</v>
      </c>
      <c r="I28" s="14">
        <f t="shared" si="35"/>
        <v>1.7721518987341773E-2</v>
      </c>
      <c r="J28" s="50">
        <f t="shared" si="3"/>
        <v>0.73881098909291809</v>
      </c>
      <c r="K28" s="16">
        <f t="shared" si="4"/>
        <v>7640320.6371061988</v>
      </c>
      <c r="L28" s="16">
        <f t="shared" si="5"/>
        <v>1722815.6136940655</v>
      </c>
      <c r="N28" s="1">
        <v>16</v>
      </c>
      <c r="O28" s="3">
        <f t="shared" si="36"/>
        <v>211333925.66098624</v>
      </c>
      <c r="P28" s="3">
        <f t="shared" si="6"/>
        <v>88055.802358744273</v>
      </c>
      <c r="Q28" s="3">
        <f t="shared" si="7"/>
        <v>88055.802358744273</v>
      </c>
      <c r="R28" s="3">
        <v>0</v>
      </c>
      <c r="S28" s="3">
        <f t="shared" si="8"/>
        <v>1634759.8113353213</v>
      </c>
      <c r="T28" s="3">
        <f t="shared" si="9"/>
        <v>528334.81415246567</v>
      </c>
      <c r="U28" s="3">
        <f t="shared" si="10"/>
        <v>1634759.8113353213</v>
      </c>
      <c r="V28" s="3">
        <f t="shared" si="11"/>
        <v>528334.81415246567</v>
      </c>
      <c r="W28" s="3">
        <f t="shared" si="12"/>
        <v>0</v>
      </c>
      <c r="X28" s="3">
        <f t="shared" si="13"/>
        <v>1106424.9971828556</v>
      </c>
      <c r="Y28" s="3">
        <f t="shared" si="14"/>
        <v>7640320.6371061988</v>
      </c>
      <c r="Z28" s="3">
        <f t="shared" si="15"/>
        <v>3609760.0890307855</v>
      </c>
      <c r="AA28" s="3">
        <f t="shared" si="16"/>
        <v>11250080.726136984</v>
      </c>
      <c r="AB28" s="3">
        <f t="shared" si="17"/>
        <v>200083844.93484926</v>
      </c>
      <c r="AC28" s="3">
        <f t="shared" si="18"/>
        <v>575241.05418769212</v>
      </c>
      <c r="AD28" s="3">
        <f t="shared" si="19"/>
        <v>1106424.9971828556</v>
      </c>
      <c r="AE28" s="3">
        <f t="shared" si="20"/>
        <v>575241.05418769212</v>
      </c>
      <c r="AF28" s="3">
        <f t="shared" si="21"/>
        <v>531183.9429951635</v>
      </c>
      <c r="AG28" s="3">
        <f t="shared" si="22"/>
        <v>0</v>
      </c>
      <c r="AH28" s="3">
        <f t="shared" si="23"/>
        <v>951465.41198734427</v>
      </c>
      <c r="AI28" s="3">
        <f t="shared" si="24"/>
        <v>0</v>
      </c>
      <c r="AJ28" s="3">
        <f t="shared" si="1"/>
        <v>575241.05418769212</v>
      </c>
      <c r="AK28" s="3">
        <f t="shared" si="2"/>
        <v>0</v>
      </c>
      <c r="AL28" s="3">
        <f t="shared" si="25"/>
        <v>199508603.88066158</v>
      </c>
      <c r="AM28" s="3">
        <f t="shared" si="37"/>
        <v>951465.41198734427</v>
      </c>
      <c r="AN28" s="3">
        <f t="shared" si="26"/>
        <v>0</v>
      </c>
      <c r="AO28" s="3">
        <f t="shared" si="27"/>
        <v>951465.41198734427</v>
      </c>
      <c r="AP28" s="3">
        <f t="shared" si="28"/>
        <v>1000000</v>
      </c>
      <c r="AQ28" s="3">
        <f t="shared" si="29"/>
        <v>531183.9429951635</v>
      </c>
      <c r="AR28" s="3">
        <f t="shared" si="30"/>
        <v>48534.588012655731</v>
      </c>
      <c r="AS28" s="3">
        <f t="shared" si="31"/>
        <v>1000000</v>
      </c>
      <c r="AT28" s="3">
        <f t="shared" si="32"/>
        <v>482649.35498250776</v>
      </c>
    </row>
    <row r="29" spans="1:48" ht="14.5" x14ac:dyDescent="0.35">
      <c r="A29" s="1">
        <v>17</v>
      </c>
      <c r="B29" s="3">
        <v>10078389.447148249</v>
      </c>
      <c r="C29" s="3">
        <v>2201217.170517182</v>
      </c>
      <c r="E29" s="15">
        <v>5.1875000000000004E-2</v>
      </c>
      <c r="F29" s="14">
        <f t="shared" si="33"/>
        <v>2.8750000000000026E-3</v>
      </c>
      <c r="G29" s="14">
        <f t="shared" si="34"/>
        <v>2.8750000000000026E-3</v>
      </c>
      <c r="I29" s="14">
        <f t="shared" si="35"/>
        <v>1.804123711340206E-2</v>
      </c>
      <c r="J29" s="50">
        <f t="shared" si="3"/>
        <v>0.72339616432274256</v>
      </c>
      <c r="K29" s="16">
        <f t="shared" si="4"/>
        <v>7446024.8759112256</v>
      </c>
      <c r="L29" s="16">
        <f t="shared" si="5"/>
        <v>1626283.4349581138</v>
      </c>
      <c r="N29" s="1">
        <v>17</v>
      </c>
      <c r="O29" s="3">
        <f t="shared" si="36"/>
        <v>199508603.88066158</v>
      </c>
      <c r="P29" s="3">
        <f t="shared" si="6"/>
        <v>83128.584950275661</v>
      </c>
      <c r="Q29" s="3">
        <f t="shared" si="7"/>
        <v>83128.584950275661</v>
      </c>
      <c r="R29" s="3">
        <v>0</v>
      </c>
      <c r="S29" s="3">
        <f t="shared" si="8"/>
        <v>1543154.8500078381</v>
      </c>
      <c r="T29" s="3">
        <f t="shared" si="9"/>
        <v>498771.50970165397</v>
      </c>
      <c r="U29" s="3">
        <f t="shared" si="10"/>
        <v>1543154.8500078381</v>
      </c>
      <c r="V29" s="3">
        <f t="shared" si="11"/>
        <v>498771.50970165397</v>
      </c>
      <c r="W29" s="3">
        <f t="shared" si="12"/>
        <v>0</v>
      </c>
      <c r="X29" s="3">
        <f t="shared" si="13"/>
        <v>1044383.3403061841</v>
      </c>
      <c r="Y29" s="3">
        <f t="shared" si="14"/>
        <v>7446024.8759112256</v>
      </c>
      <c r="Z29" s="3">
        <f t="shared" si="15"/>
        <v>3465046.528436217</v>
      </c>
      <c r="AA29" s="3">
        <f t="shared" si="16"/>
        <v>10911071.404347442</v>
      </c>
      <c r="AB29" s="3">
        <f t="shared" si="17"/>
        <v>188597532.47631413</v>
      </c>
      <c r="AC29" s="3">
        <f t="shared" si="18"/>
        <v>542217.90586940362</v>
      </c>
      <c r="AD29" s="3">
        <f t="shared" si="19"/>
        <v>1044383.3403061841</v>
      </c>
      <c r="AE29" s="3">
        <f t="shared" si="20"/>
        <v>542217.90586940362</v>
      </c>
      <c r="AF29" s="3">
        <f t="shared" si="21"/>
        <v>502165.43443678052</v>
      </c>
      <c r="AG29" s="3">
        <f t="shared" si="22"/>
        <v>0</v>
      </c>
      <c r="AH29" s="3">
        <f t="shared" si="23"/>
        <v>1000000</v>
      </c>
      <c r="AI29" s="3">
        <f t="shared" si="24"/>
        <v>0</v>
      </c>
      <c r="AJ29" s="3">
        <f t="shared" si="1"/>
        <v>542217.90586940362</v>
      </c>
      <c r="AK29" s="3">
        <f t="shared" si="2"/>
        <v>0</v>
      </c>
      <c r="AL29" s="3">
        <f t="shared" si="25"/>
        <v>188055314.57044473</v>
      </c>
      <c r="AM29" s="3">
        <f t="shared" si="37"/>
        <v>1000000</v>
      </c>
      <c r="AN29" s="3">
        <f t="shared" si="26"/>
        <v>0</v>
      </c>
      <c r="AO29" s="3">
        <f t="shared" si="27"/>
        <v>1000000</v>
      </c>
      <c r="AP29" s="3">
        <f t="shared" si="28"/>
        <v>1000000</v>
      </c>
      <c r="AQ29" s="3">
        <f t="shared" si="29"/>
        <v>502165.43443678052</v>
      </c>
      <c r="AR29" s="3">
        <f t="shared" si="30"/>
        <v>0</v>
      </c>
      <c r="AS29" s="3">
        <f t="shared" si="31"/>
        <v>1000000</v>
      </c>
      <c r="AT29" s="3">
        <f t="shared" si="32"/>
        <v>502165.43443678052</v>
      </c>
    </row>
    <row r="30" spans="1:48" ht="14.5" x14ac:dyDescent="0.35">
      <c r="A30" s="1">
        <v>18</v>
      </c>
      <c r="B30" s="3">
        <v>9996456.6877981704</v>
      </c>
      <c r="C30" s="3">
        <v>2118848.5602015969</v>
      </c>
      <c r="E30" s="15">
        <v>5.7625000000000003E-2</v>
      </c>
      <c r="F30" s="14">
        <f t="shared" si="33"/>
        <v>5.7499999999999982E-3</v>
      </c>
      <c r="G30" s="14">
        <f t="shared" si="34"/>
        <v>5.7499999999999982E-3</v>
      </c>
      <c r="I30" s="14">
        <f t="shared" si="35"/>
        <v>1.8372703412073491E-2</v>
      </c>
      <c r="J30" s="50">
        <f t="shared" si="3"/>
        <v>0.70602231497461854</v>
      </c>
      <c r="K30" s="16">
        <f t="shared" si="4"/>
        <v>7231398.4247716237</v>
      </c>
      <c r="L30" s="16">
        <f t="shared" si="5"/>
        <v>1532766.9212306009</v>
      </c>
      <c r="N30" s="1">
        <v>18</v>
      </c>
      <c r="O30" s="3">
        <f t="shared" si="36"/>
        <v>188055314.57044473</v>
      </c>
      <c r="P30" s="3">
        <f t="shared" si="6"/>
        <v>78356.381071018637</v>
      </c>
      <c r="Q30" s="3">
        <f t="shared" si="7"/>
        <v>78356.381071018637</v>
      </c>
      <c r="R30" s="3">
        <v>0</v>
      </c>
      <c r="S30" s="3">
        <f t="shared" si="8"/>
        <v>1454410.5401595822</v>
      </c>
      <c r="T30" s="3">
        <f t="shared" si="9"/>
        <v>470138.28642611182</v>
      </c>
      <c r="U30" s="3">
        <f t="shared" si="10"/>
        <v>1454410.5401595822</v>
      </c>
      <c r="V30" s="3">
        <f t="shared" si="11"/>
        <v>470138.28642611182</v>
      </c>
      <c r="W30" s="3">
        <f t="shared" si="12"/>
        <v>0</v>
      </c>
      <c r="X30" s="3">
        <f t="shared" si="13"/>
        <v>984272.25373347034</v>
      </c>
      <c r="Y30" s="3">
        <f t="shared" si="14"/>
        <v>7231398.4247716237</v>
      </c>
      <c r="Z30" s="3">
        <f t="shared" si="15"/>
        <v>3322224.1811540988</v>
      </c>
      <c r="AA30" s="3">
        <f t="shared" si="16"/>
        <v>10553622.605925722</v>
      </c>
      <c r="AB30" s="3">
        <f t="shared" si="17"/>
        <v>177501691.96451902</v>
      </c>
      <c r="AC30" s="3">
        <f t="shared" si="18"/>
        <v>1020634.7287959841</v>
      </c>
      <c r="AD30" s="3">
        <f t="shared" si="19"/>
        <v>984272.25373347034</v>
      </c>
      <c r="AE30" s="3">
        <f t="shared" si="20"/>
        <v>984272.25373347034</v>
      </c>
      <c r="AF30" s="3">
        <f t="shared" si="21"/>
        <v>0</v>
      </c>
      <c r="AG30" s="3">
        <f t="shared" si="22"/>
        <v>36362.475062513724</v>
      </c>
      <c r="AH30" s="3">
        <f t="shared" si="23"/>
        <v>1000000</v>
      </c>
      <c r="AI30" s="3">
        <f t="shared" si="24"/>
        <v>36362.475062513724</v>
      </c>
      <c r="AJ30" s="3">
        <f t="shared" si="1"/>
        <v>1020634.7287959841</v>
      </c>
      <c r="AK30" s="3">
        <f t="shared" si="2"/>
        <v>0</v>
      </c>
      <c r="AL30" s="3">
        <f t="shared" si="25"/>
        <v>176481057.23572305</v>
      </c>
      <c r="AM30" s="3">
        <f t="shared" si="37"/>
        <v>1000000</v>
      </c>
      <c r="AN30" s="3">
        <f t="shared" si="26"/>
        <v>36362.475062513724</v>
      </c>
      <c r="AO30" s="3">
        <f t="shared" si="27"/>
        <v>963637.52493748628</v>
      </c>
      <c r="AP30" s="3">
        <f t="shared" si="28"/>
        <v>1000000</v>
      </c>
      <c r="AQ30" s="3">
        <f t="shared" si="29"/>
        <v>0</v>
      </c>
      <c r="AR30" s="3">
        <f t="shared" si="30"/>
        <v>0</v>
      </c>
      <c r="AS30" s="3">
        <f t="shared" si="31"/>
        <v>963637.52493748628</v>
      </c>
      <c r="AT30" s="3">
        <f t="shared" si="32"/>
        <v>0</v>
      </c>
    </row>
    <row r="31" spans="1:48" ht="14.5" x14ac:dyDescent="0.35">
      <c r="A31" s="1">
        <v>19</v>
      </c>
      <c r="B31" s="3">
        <v>9933476.6156950966</v>
      </c>
      <c r="C31" s="3">
        <v>2037103.5611643575</v>
      </c>
      <c r="E31" s="15">
        <v>6.0499999999999998E-2</v>
      </c>
      <c r="F31" s="14">
        <f t="shared" si="33"/>
        <v>2.8749999999999956E-3</v>
      </c>
      <c r="G31" s="14">
        <f t="shared" si="34"/>
        <v>2.8749999999999956E-3</v>
      </c>
      <c r="I31" s="14">
        <f t="shared" si="35"/>
        <v>1.8716577540106954E-2</v>
      </c>
      <c r="J31" s="50">
        <f t="shared" si="3"/>
        <v>0.69081617058983269</v>
      </c>
      <c r="K31" s="16">
        <f t="shared" si="4"/>
        <v>7013256.1559592914</v>
      </c>
      <c r="L31" s="16">
        <f t="shared" si="5"/>
        <v>1438240.5720962991</v>
      </c>
      <c r="N31" s="1">
        <v>19</v>
      </c>
      <c r="O31" s="3">
        <f t="shared" si="36"/>
        <v>176481057.23572305</v>
      </c>
      <c r="P31" s="3">
        <f t="shared" si="6"/>
        <v>73533.773848217941</v>
      </c>
      <c r="Q31" s="3">
        <f t="shared" si="7"/>
        <v>73533.773848217941</v>
      </c>
      <c r="R31" s="3">
        <v>0</v>
      </c>
      <c r="S31" s="3">
        <f t="shared" si="8"/>
        <v>1364706.7982480812</v>
      </c>
      <c r="T31" s="3">
        <f t="shared" si="9"/>
        <v>441202.64308930765</v>
      </c>
      <c r="U31" s="3">
        <f t="shared" si="10"/>
        <v>1364706.7982480812</v>
      </c>
      <c r="V31" s="3">
        <f t="shared" si="11"/>
        <v>441202.64308930765</v>
      </c>
      <c r="W31" s="3">
        <f t="shared" si="12"/>
        <v>0</v>
      </c>
      <c r="X31" s="3">
        <f t="shared" si="13"/>
        <v>923504.15515877353</v>
      </c>
      <c r="Y31" s="3">
        <f t="shared" si="14"/>
        <v>7013256.1559592914</v>
      </c>
      <c r="Z31" s="3">
        <f t="shared" si="15"/>
        <v>3171857.2394608194</v>
      </c>
      <c r="AA31" s="3">
        <f t="shared" si="16"/>
        <v>10185113.395420112</v>
      </c>
      <c r="AB31" s="3">
        <f t="shared" si="17"/>
        <v>166295943.84030294</v>
      </c>
      <c r="AC31" s="3">
        <f t="shared" si="18"/>
        <v>478100.83854087023</v>
      </c>
      <c r="AD31" s="3">
        <f t="shared" si="19"/>
        <v>923504.15515877353</v>
      </c>
      <c r="AE31" s="3">
        <f t="shared" si="20"/>
        <v>478100.83854087023</v>
      </c>
      <c r="AF31" s="3">
        <f t="shared" si="21"/>
        <v>445403.3166179033</v>
      </c>
      <c r="AG31" s="3">
        <f t="shared" si="22"/>
        <v>0</v>
      </c>
      <c r="AH31" s="3">
        <f t="shared" si="23"/>
        <v>963637.52493748628</v>
      </c>
      <c r="AI31" s="3">
        <f t="shared" si="24"/>
        <v>0</v>
      </c>
      <c r="AJ31" s="3">
        <f t="shared" si="1"/>
        <v>478100.83854087023</v>
      </c>
      <c r="AK31" s="3">
        <f t="shared" si="2"/>
        <v>0</v>
      </c>
      <c r="AL31" s="3">
        <f t="shared" si="25"/>
        <v>165817843.00176206</v>
      </c>
      <c r="AM31" s="3">
        <f t="shared" si="37"/>
        <v>963637.52493748628</v>
      </c>
      <c r="AN31" s="3">
        <f t="shared" si="26"/>
        <v>0</v>
      </c>
      <c r="AO31" s="3">
        <f t="shared" si="27"/>
        <v>963637.52493748628</v>
      </c>
      <c r="AP31" s="3">
        <f t="shared" si="28"/>
        <v>1000000</v>
      </c>
      <c r="AQ31" s="3">
        <f t="shared" si="29"/>
        <v>445403.3166179033</v>
      </c>
      <c r="AR31" s="3">
        <f t="shared" si="30"/>
        <v>36362.475062513724</v>
      </c>
      <c r="AS31" s="3">
        <f t="shared" si="31"/>
        <v>1000000</v>
      </c>
      <c r="AT31" s="3">
        <f t="shared" si="32"/>
        <v>409040.84155538958</v>
      </c>
    </row>
    <row r="32" spans="1:48" ht="14.5" x14ac:dyDescent="0.35">
      <c r="A32" s="1">
        <v>20</v>
      </c>
      <c r="B32" s="3">
        <v>9874685.1296449248</v>
      </c>
      <c r="C32" s="3">
        <v>1955844.5189782178</v>
      </c>
      <c r="E32" s="15">
        <v>6.2600000000000003E-2</v>
      </c>
      <c r="F32" s="14">
        <f t="shared" si="33"/>
        <v>2.1000000000000046E-3</v>
      </c>
      <c r="G32" s="14">
        <f t="shared" si="34"/>
        <v>2.1000000000000046E-3</v>
      </c>
      <c r="I32" s="14">
        <f t="shared" si="35"/>
        <v>1.9073569482288829E-2</v>
      </c>
      <c r="J32" s="50">
        <f t="shared" si="3"/>
        <v>0.67621679669584167</v>
      </c>
      <c r="K32" s="16">
        <f t="shared" si="4"/>
        <v>6821592.1670416724</v>
      </c>
      <c r="L32" s="16">
        <f t="shared" si="5"/>
        <v>1351129.0208696458</v>
      </c>
      <c r="N32" s="1">
        <v>20</v>
      </c>
      <c r="O32" s="3">
        <f t="shared" si="36"/>
        <v>165817843.00176206</v>
      </c>
      <c r="P32" s="3">
        <f t="shared" si="6"/>
        <v>69090.767917400852</v>
      </c>
      <c r="Q32" s="3">
        <f t="shared" si="7"/>
        <v>69090.767917400852</v>
      </c>
      <c r="R32" s="3">
        <v>0</v>
      </c>
      <c r="S32" s="3">
        <f t="shared" si="8"/>
        <v>1282038.2529522448</v>
      </c>
      <c r="T32" s="3">
        <f t="shared" si="9"/>
        <v>414544.60750440514</v>
      </c>
      <c r="U32" s="3">
        <f t="shared" si="10"/>
        <v>1282038.2529522448</v>
      </c>
      <c r="V32" s="3">
        <f t="shared" si="11"/>
        <v>414544.60750440514</v>
      </c>
      <c r="W32" s="3">
        <f t="shared" si="12"/>
        <v>0</v>
      </c>
      <c r="X32" s="3">
        <f t="shared" si="13"/>
        <v>867493.64544783975</v>
      </c>
      <c r="Y32" s="3">
        <f t="shared" si="14"/>
        <v>6821592.1670416724</v>
      </c>
      <c r="Z32" s="3">
        <f t="shared" si="15"/>
        <v>3032626.037719463</v>
      </c>
      <c r="AA32" s="3">
        <f t="shared" si="16"/>
        <v>9854218.2047611363</v>
      </c>
      <c r="AB32" s="3">
        <f t="shared" si="17"/>
        <v>155963624.79700091</v>
      </c>
      <c r="AC32" s="3">
        <f t="shared" si="18"/>
        <v>327523.61207370262</v>
      </c>
      <c r="AD32" s="3">
        <f t="shared" si="19"/>
        <v>867493.64544783975</v>
      </c>
      <c r="AE32" s="3">
        <f t="shared" si="20"/>
        <v>327523.61207370262</v>
      </c>
      <c r="AF32" s="3">
        <f t="shared" si="21"/>
        <v>539970.03337413713</v>
      </c>
      <c r="AG32" s="3">
        <f t="shared" si="22"/>
        <v>0</v>
      </c>
      <c r="AH32" s="3">
        <f t="shared" si="23"/>
        <v>1000000</v>
      </c>
      <c r="AI32" s="3">
        <f t="shared" si="24"/>
        <v>0</v>
      </c>
      <c r="AJ32" s="3">
        <f t="shared" si="1"/>
        <v>327523.61207370262</v>
      </c>
      <c r="AK32" s="3">
        <f t="shared" si="2"/>
        <v>0</v>
      </c>
      <c r="AL32" s="3">
        <f t="shared" si="25"/>
        <v>155636101.18492723</v>
      </c>
      <c r="AM32" s="3">
        <f t="shared" si="37"/>
        <v>1000000</v>
      </c>
      <c r="AN32" s="3">
        <f t="shared" si="26"/>
        <v>0</v>
      </c>
      <c r="AO32" s="3">
        <f t="shared" si="27"/>
        <v>1000000</v>
      </c>
      <c r="AP32" s="3">
        <f t="shared" si="28"/>
        <v>1000000</v>
      </c>
      <c r="AQ32" s="3">
        <f t="shared" si="29"/>
        <v>539970.03337413713</v>
      </c>
      <c r="AR32" s="3">
        <f t="shared" si="30"/>
        <v>0</v>
      </c>
      <c r="AS32" s="3">
        <f t="shared" si="31"/>
        <v>1000000</v>
      </c>
      <c r="AT32" s="3">
        <f t="shared" si="32"/>
        <v>539970.03337413713</v>
      </c>
    </row>
    <row r="33" spans="1:46" ht="14.5" x14ac:dyDescent="0.35">
      <c r="A33" s="1">
        <v>21</v>
      </c>
      <c r="B33" s="3">
        <v>9828444.6463909168</v>
      </c>
      <c r="C33" s="3">
        <v>1875044.6724034618</v>
      </c>
      <c r="E33" s="15">
        <v>6.6799999999999998E-2</v>
      </c>
      <c r="F33" s="14">
        <f t="shared" si="33"/>
        <v>4.1999999999999954E-3</v>
      </c>
      <c r="G33" s="14">
        <f t="shared" si="34"/>
        <v>4.1999999999999954E-3</v>
      </c>
      <c r="I33" s="14">
        <f t="shared" si="35"/>
        <v>1.9444444444444445E-2</v>
      </c>
      <c r="J33" s="50">
        <f t="shared" si="3"/>
        <v>0.66028325058569681</v>
      </c>
      <c r="K33" s="16">
        <f t="shared" si="4"/>
        <v>6646159.3552848604</v>
      </c>
      <c r="L33" s="16">
        <f t="shared" si="5"/>
        <v>1267936.7020342727</v>
      </c>
      <c r="N33" s="1">
        <v>21</v>
      </c>
      <c r="O33" s="3">
        <f t="shared" si="36"/>
        <v>155636101.18492723</v>
      </c>
      <c r="P33" s="3">
        <f t="shared" si="6"/>
        <v>64848.375493719679</v>
      </c>
      <c r="Q33" s="3">
        <f t="shared" si="7"/>
        <v>64848.375493719679</v>
      </c>
      <c r="R33" s="3">
        <v>0</v>
      </c>
      <c r="S33" s="3">
        <f t="shared" si="8"/>
        <v>1203088.326540553</v>
      </c>
      <c r="T33" s="3">
        <f t="shared" si="9"/>
        <v>389090.25296231807</v>
      </c>
      <c r="U33" s="3">
        <f t="shared" si="10"/>
        <v>1203088.326540553</v>
      </c>
      <c r="V33" s="3">
        <f t="shared" si="11"/>
        <v>389090.25296231807</v>
      </c>
      <c r="W33" s="3">
        <f t="shared" si="12"/>
        <v>0</v>
      </c>
      <c r="X33" s="3">
        <f t="shared" si="13"/>
        <v>813998.07357823499</v>
      </c>
      <c r="Y33" s="3">
        <f t="shared" si="14"/>
        <v>6646159.3552848604</v>
      </c>
      <c r="Z33" s="3">
        <f t="shared" si="15"/>
        <v>2897026.6466874904</v>
      </c>
      <c r="AA33" s="3">
        <f t="shared" si="16"/>
        <v>9543186.0019723512</v>
      </c>
      <c r="AB33" s="3">
        <f t="shared" si="17"/>
        <v>146092915.18295488</v>
      </c>
      <c r="AC33" s="3">
        <f t="shared" si="18"/>
        <v>613590.24376840983</v>
      </c>
      <c r="AD33" s="3">
        <f t="shared" si="19"/>
        <v>813998.07357823499</v>
      </c>
      <c r="AE33" s="3">
        <f t="shared" si="20"/>
        <v>613590.24376840983</v>
      </c>
      <c r="AF33" s="3">
        <f t="shared" si="21"/>
        <v>200407.82980982517</v>
      </c>
      <c r="AG33" s="3">
        <f t="shared" si="22"/>
        <v>0</v>
      </c>
      <c r="AH33" s="3">
        <f t="shared" si="23"/>
        <v>1000000</v>
      </c>
      <c r="AI33" s="3">
        <f t="shared" si="24"/>
        <v>0</v>
      </c>
      <c r="AJ33" s="3">
        <f t="shared" si="1"/>
        <v>613590.24376840983</v>
      </c>
      <c r="AK33" s="3">
        <f t="shared" si="2"/>
        <v>0</v>
      </c>
      <c r="AL33" s="3">
        <f t="shared" si="25"/>
        <v>145479324.93918645</v>
      </c>
      <c r="AM33" s="3">
        <f t="shared" si="37"/>
        <v>1000000</v>
      </c>
      <c r="AN33" s="3">
        <f t="shared" si="26"/>
        <v>0</v>
      </c>
      <c r="AO33" s="3">
        <f t="shared" si="27"/>
        <v>1000000</v>
      </c>
      <c r="AP33" s="3">
        <f t="shared" si="28"/>
        <v>1000000</v>
      </c>
      <c r="AQ33" s="3">
        <f t="shared" si="29"/>
        <v>200407.82980982517</v>
      </c>
      <c r="AR33" s="3">
        <f t="shared" si="30"/>
        <v>0</v>
      </c>
      <c r="AS33" s="3">
        <f t="shared" si="31"/>
        <v>1000000</v>
      </c>
      <c r="AT33" s="3">
        <f t="shared" si="32"/>
        <v>200407.82980982517</v>
      </c>
    </row>
    <row r="34" spans="1:46" ht="14.5" x14ac:dyDescent="0.35">
      <c r="A34" s="1">
        <v>22</v>
      </c>
      <c r="B34" s="3">
        <v>9779896.3459374197</v>
      </c>
      <c r="C34" s="3">
        <v>1794611.564801859</v>
      </c>
      <c r="E34" s="15">
        <v>6.8900000000000003E-2</v>
      </c>
      <c r="F34" s="14">
        <f t="shared" si="33"/>
        <v>2.1000000000000046E-3</v>
      </c>
      <c r="G34" s="14">
        <f t="shared" si="34"/>
        <v>2.1000000000000046E-3</v>
      </c>
      <c r="I34" s="14">
        <f t="shared" si="35"/>
        <v>1.9830028328611901E-2</v>
      </c>
      <c r="J34" s="50">
        <f t="shared" si="3"/>
        <v>0.64583071641012901</v>
      </c>
      <c r="K34" s="16">
        <f t="shared" si="4"/>
        <v>6457501.7496867375</v>
      </c>
      <c r="L34" s="16">
        <f t="shared" si="5"/>
        <v>1184951.9575460553</v>
      </c>
      <c r="N34" s="1">
        <v>22</v>
      </c>
      <c r="O34" s="3">
        <f t="shared" si="36"/>
        <v>145479324.93918645</v>
      </c>
      <c r="P34" s="3">
        <f t="shared" si="6"/>
        <v>60616.385391327691</v>
      </c>
      <c r="Q34" s="3">
        <f t="shared" si="7"/>
        <v>60616.385391327691</v>
      </c>
      <c r="R34" s="3">
        <v>0</v>
      </c>
      <c r="S34" s="3">
        <f t="shared" si="8"/>
        <v>1124335.5721547275</v>
      </c>
      <c r="T34" s="3">
        <f t="shared" si="9"/>
        <v>363698.31234796613</v>
      </c>
      <c r="U34" s="3">
        <f t="shared" si="10"/>
        <v>1124335.5721547275</v>
      </c>
      <c r="V34" s="3">
        <f t="shared" si="11"/>
        <v>363698.31234796613</v>
      </c>
      <c r="W34" s="3">
        <f t="shared" si="12"/>
        <v>0</v>
      </c>
      <c r="X34" s="3">
        <f t="shared" si="13"/>
        <v>760637.2598067614</v>
      </c>
      <c r="Y34" s="3">
        <f t="shared" si="14"/>
        <v>6457501.7496867375</v>
      </c>
      <c r="Z34" s="3">
        <f t="shared" si="15"/>
        <v>2756806.6921430542</v>
      </c>
      <c r="AA34" s="3">
        <f t="shared" si="16"/>
        <v>9214308.4418297913</v>
      </c>
      <c r="AB34" s="3">
        <f t="shared" si="17"/>
        <v>136265016.49735665</v>
      </c>
      <c r="AC34" s="3">
        <f t="shared" si="18"/>
        <v>286156.5346444496</v>
      </c>
      <c r="AD34" s="3">
        <f t="shared" si="19"/>
        <v>760637.2598067614</v>
      </c>
      <c r="AE34" s="3">
        <f t="shared" si="20"/>
        <v>286156.5346444496</v>
      </c>
      <c r="AF34" s="3">
        <f t="shared" si="21"/>
        <v>474480.72516231181</v>
      </c>
      <c r="AG34" s="3">
        <f t="shared" si="22"/>
        <v>0</v>
      </c>
      <c r="AH34" s="3">
        <f t="shared" si="23"/>
        <v>1000000</v>
      </c>
      <c r="AI34" s="3">
        <f t="shared" si="24"/>
        <v>0</v>
      </c>
      <c r="AJ34" s="3">
        <f t="shared" si="1"/>
        <v>286156.5346444496</v>
      </c>
      <c r="AK34" s="3">
        <f t="shared" si="2"/>
        <v>0</v>
      </c>
      <c r="AL34" s="3">
        <f t="shared" si="25"/>
        <v>135978859.9627122</v>
      </c>
      <c r="AM34" s="3">
        <f t="shared" si="37"/>
        <v>1000000</v>
      </c>
      <c r="AN34" s="3">
        <f t="shared" si="26"/>
        <v>0</v>
      </c>
      <c r="AO34" s="3">
        <f t="shared" si="27"/>
        <v>1000000</v>
      </c>
      <c r="AP34" s="3">
        <f t="shared" si="28"/>
        <v>1000000</v>
      </c>
      <c r="AQ34" s="3">
        <f t="shared" si="29"/>
        <v>474480.72516231181</v>
      </c>
      <c r="AR34" s="3">
        <f t="shared" si="30"/>
        <v>0</v>
      </c>
      <c r="AS34" s="3">
        <f t="shared" si="31"/>
        <v>1000000</v>
      </c>
      <c r="AT34" s="3">
        <f t="shared" si="32"/>
        <v>474480.72516231181</v>
      </c>
    </row>
    <row r="35" spans="1:46" ht="14.5" x14ac:dyDescent="0.35">
      <c r="A35" s="1">
        <v>23</v>
      </c>
      <c r="B35" s="3">
        <v>9735402.9939678367</v>
      </c>
      <c r="C35" s="3">
        <v>1714535.2927819849</v>
      </c>
      <c r="E35" s="15">
        <v>7.0449999999999999E-2</v>
      </c>
      <c r="F35" s="14">
        <f t="shared" si="33"/>
        <v>1.5499999999999958E-3</v>
      </c>
      <c r="G35" s="14">
        <f t="shared" si="34"/>
        <v>1.5499999999999958E-3</v>
      </c>
      <c r="I35" s="14">
        <f t="shared" si="35"/>
        <v>2.023121387283237E-2</v>
      </c>
      <c r="J35" s="50">
        <f t="shared" si="3"/>
        <v>0.63178399165634691</v>
      </c>
      <c r="K35" s="16">
        <f t="shared" si="4"/>
        <v>6287422.2901355634</v>
      </c>
      <c r="L35" s="16">
        <f t="shared" si="5"/>
        <v>1107299.5564478396</v>
      </c>
      <c r="N35" s="1">
        <v>23</v>
      </c>
      <c r="O35" s="3">
        <f t="shared" si="36"/>
        <v>135978859.9627122</v>
      </c>
      <c r="P35" s="3">
        <f t="shared" si="6"/>
        <v>56657.858317796752</v>
      </c>
      <c r="Q35" s="3">
        <f t="shared" si="7"/>
        <v>56657.858317796752</v>
      </c>
      <c r="R35" s="3">
        <v>0</v>
      </c>
      <c r="S35" s="3">
        <f t="shared" si="8"/>
        <v>1050641.6981300428</v>
      </c>
      <c r="T35" s="3">
        <f t="shared" si="9"/>
        <v>339947.14990678051</v>
      </c>
      <c r="U35" s="3">
        <f t="shared" si="10"/>
        <v>1050641.6981300428</v>
      </c>
      <c r="V35" s="3">
        <f t="shared" si="11"/>
        <v>339947.14990678051</v>
      </c>
      <c r="W35" s="3">
        <f t="shared" si="12"/>
        <v>0</v>
      </c>
      <c r="X35" s="3">
        <f t="shared" si="13"/>
        <v>710694.54822326219</v>
      </c>
      <c r="Y35" s="3">
        <f t="shared" si="14"/>
        <v>6287422.2901355634</v>
      </c>
      <c r="Z35" s="3">
        <f t="shared" si="15"/>
        <v>2623815.213029007</v>
      </c>
      <c r="AA35" s="3">
        <f t="shared" si="16"/>
        <v>8911237.5031645708</v>
      </c>
      <c r="AB35" s="3">
        <f t="shared" si="17"/>
        <v>127067622.45954762</v>
      </c>
      <c r="AC35" s="3">
        <f t="shared" si="18"/>
        <v>196954.81481229828</v>
      </c>
      <c r="AD35" s="3">
        <f t="shared" si="19"/>
        <v>710694.54822326219</v>
      </c>
      <c r="AE35" s="3">
        <f t="shared" si="20"/>
        <v>196954.81481229828</v>
      </c>
      <c r="AF35" s="3">
        <f t="shared" si="21"/>
        <v>513739.73341096391</v>
      </c>
      <c r="AG35" s="3">
        <f t="shared" si="22"/>
        <v>0</v>
      </c>
      <c r="AH35" s="3">
        <f t="shared" si="23"/>
        <v>1000000</v>
      </c>
      <c r="AI35" s="3">
        <f t="shared" si="24"/>
        <v>0</v>
      </c>
      <c r="AJ35" s="3">
        <f t="shared" si="1"/>
        <v>196954.81481229828</v>
      </c>
      <c r="AK35" s="3">
        <f t="shared" si="2"/>
        <v>0</v>
      </c>
      <c r="AL35" s="3">
        <f t="shared" si="25"/>
        <v>126870667.64473532</v>
      </c>
      <c r="AM35" s="3">
        <f t="shared" si="37"/>
        <v>1000000</v>
      </c>
      <c r="AN35" s="3">
        <f t="shared" si="26"/>
        <v>0</v>
      </c>
      <c r="AO35" s="3">
        <f t="shared" si="27"/>
        <v>1000000</v>
      </c>
      <c r="AP35" s="3">
        <f t="shared" si="28"/>
        <v>1000000</v>
      </c>
      <c r="AQ35" s="3">
        <f t="shared" si="29"/>
        <v>513739.73341096391</v>
      </c>
      <c r="AR35" s="3">
        <f t="shared" si="30"/>
        <v>0</v>
      </c>
      <c r="AS35" s="3">
        <f t="shared" si="31"/>
        <v>1000000</v>
      </c>
      <c r="AT35" s="3">
        <f t="shared" si="32"/>
        <v>513739.73341096391</v>
      </c>
    </row>
    <row r="36" spans="1:46" ht="14.5" x14ac:dyDescent="0.35">
      <c r="A36" s="1">
        <v>24</v>
      </c>
      <c r="B36" s="3">
        <v>9650680.098254418</v>
      </c>
      <c r="C36" s="3">
        <v>1634816.6536003342</v>
      </c>
      <c r="E36" s="15">
        <v>7.3550000000000004E-2</v>
      </c>
      <c r="F36" s="14">
        <f t="shared" si="33"/>
        <v>3.1000000000000055E-3</v>
      </c>
      <c r="G36" s="14">
        <f t="shared" si="34"/>
        <v>3.1000000000000055E-3</v>
      </c>
      <c r="I36" s="14">
        <f t="shared" si="35"/>
        <v>2.0648967551622422E-2</v>
      </c>
      <c r="J36" s="50">
        <f t="shared" si="3"/>
        <v>0.61682021576901025</v>
      </c>
      <c r="K36" s="16">
        <f t="shared" si="4"/>
        <v>6097145.1946736425</v>
      </c>
      <c r="L36" s="16">
        <f t="shared" si="5"/>
        <v>1032850.9910378905</v>
      </c>
      <c r="N36" s="1">
        <v>24</v>
      </c>
      <c r="O36" s="3">
        <f t="shared" si="36"/>
        <v>126870667.64473532</v>
      </c>
      <c r="P36" s="3">
        <f t="shared" si="6"/>
        <v>52862.778185306386</v>
      </c>
      <c r="Q36" s="3">
        <f t="shared" si="7"/>
        <v>52862.778185306386</v>
      </c>
      <c r="R36" s="3">
        <v>0</v>
      </c>
      <c r="S36" s="3">
        <f t="shared" si="8"/>
        <v>979988.2128525842</v>
      </c>
      <c r="T36" s="3">
        <f t="shared" si="9"/>
        <v>317176.66911183833</v>
      </c>
      <c r="U36" s="3">
        <f t="shared" si="10"/>
        <v>979988.2128525842</v>
      </c>
      <c r="V36" s="3">
        <f t="shared" si="11"/>
        <v>317176.66911183833</v>
      </c>
      <c r="W36" s="3">
        <f t="shared" si="12"/>
        <v>0</v>
      </c>
      <c r="X36" s="3">
        <f t="shared" si="13"/>
        <v>662811.54374074587</v>
      </c>
      <c r="Y36" s="3">
        <f t="shared" si="14"/>
        <v>6097145.1946736425</v>
      </c>
      <c r="Z36" s="3">
        <f t="shared" si="15"/>
        <v>2493848.5461664656</v>
      </c>
      <c r="AA36" s="3">
        <f t="shared" si="16"/>
        <v>8590993.7408401072</v>
      </c>
      <c r="AB36" s="3">
        <f t="shared" si="17"/>
        <v>118279673.90389521</v>
      </c>
      <c r="AC36" s="3">
        <f t="shared" si="18"/>
        <v>366666.98910207581</v>
      </c>
      <c r="AD36" s="3">
        <f t="shared" si="19"/>
        <v>662811.54374074587</v>
      </c>
      <c r="AE36" s="3">
        <f t="shared" si="20"/>
        <v>366666.98910207581</v>
      </c>
      <c r="AF36" s="3">
        <f t="shared" si="21"/>
        <v>296144.55463867006</v>
      </c>
      <c r="AG36" s="3">
        <f t="shared" si="22"/>
        <v>0</v>
      </c>
      <c r="AH36" s="3">
        <f t="shared" si="23"/>
        <v>1000000</v>
      </c>
      <c r="AI36" s="3">
        <f t="shared" si="24"/>
        <v>0</v>
      </c>
      <c r="AJ36" s="3">
        <f t="shared" si="1"/>
        <v>366666.98910207581</v>
      </c>
      <c r="AK36" s="3">
        <f t="shared" si="2"/>
        <v>0</v>
      </c>
      <c r="AL36" s="3">
        <f t="shared" si="25"/>
        <v>117913006.91479313</v>
      </c>
      <c r="AM36" s="3">
        <f t="shared" si="37"/>
        <v>1000000</v>
      </c>
      <c r="AN36" s="3">
        <f t="shared" si="26"/>
        <v>0</v>
      </c>
      <c r="AO36" s="3">
        <f t="shared" si="27"/>
        <v>1000000</v>
      </c>
      <c r="AP36" s="3">
        <f t="shared" si="28"/>
        <v>1000000</v>
      </c>
      <c r="AQ36" s="3">
        <f t="shared" si="29"/>
        <v>296144.55463867006</v>
      </c>
      <c r="AR36" s="3">
        <f t="shared" si="30"/>
        <v>0</v>
      </c>
      <c r="AS36" s="3">
        <f t="shared" si="31"/>
        <v>1000000</v>
      </c>
      <c r="AT36" s="3">
        <f t="shared" si="32"/>
        <v>296144.55463867006</v>
      </c>
    </row>
    <row r="37" spans="1:46" ht="14.5" x14ac:dyDescent="0.35">
      <c r="A37" s="1">
        <v>25</v>
      </c>
      <c r="B37" s="3">
        <v>9549086.5853083767</v>
      </c>
      <c r="C37" s="3">
        <v>1555781.3209947022</v>
      </c>
      <c r="E37" s="15">
        <v>7.51E-2</v>
      </c>
      <c r="F37" s="14">
        <f t="shared" si="33"/>
        <v>1.5499999999999958E-3</v>
      </c>
      <c r="G37" s="14">
        <f t="shared" si="34"/>
        <v>1.5499999999999958E-3</v>
      </c>
      <c r="I37" s="14">
        <f t="shared" si="35"/>
        <v>2.1084337349397592E-2</v>
      </c>
      <c r="J37" s="50">
        <f t="shared" si="3"/>
        <v>0.60287905705191169</v>
      </c>
      <c r="K37" s="16">
        <f t="shared" si="4"/>
        <v>5890069.6479468746</v>
      </c>
      <c r="L37" s="16">
        <f t="shared" si="5"/>
        <v>959637.37010534795</v>
      </c>
      <c r="N37" s="1">
        <v>25</v>
      </c>
      <c r="O37" s="3">
        <f t="shared" si="36"/>
        <v>117913006.91479313</v>
      </c>
      <c r="P37" s="3">
        <f t="shared" si="6"/>
        <v>49130.419547830475</v>
      </c>
      <c r="Q37" s="3">
        <f t="shared" si="7"/>
        <v>49130.419547830475</v>
      </c>
      <c r="R37" s="3">
        <v>0</v>
      </c>
      <c r="S37" s="3">
        <f t="shared" si="8"/>
        <v>910506.95055751747</v>
      </c>
      <c r="T37" s="3">
        <f t="shared" si="9"/>
        <v>294782.51728698285</v>
      </c>
      <c r="U37" s="3">
        <f t="shared" si="10"/>
        <v>910506.95055751747</v>
      </c>
      <c r="V37" s="3">
        <f t="shared" si="11"/>
        <v>294782.51728698285</v>
      </c>
      <c r="W37" s="3">
        <f t="shared" si="12"/>
        <v>0</v>
      </c>
      <c r="X37" s="3">
        <f t="shared" si="13"/>
        <v>615724.43327053462</v>
      </c>
      <c r="Y37" s="3">
        <f t="shared" si="14"/>
        <v>5890069.6479468746</v>
      </c>
      <c r="Z37" s="3">
        <f t="shared" si="15"/>
        <v>2361929.4002045901</v>
      </c>
      <c r="AA37" s="3">
        <f t="shared" si="16"/>
        <v>8251999.0481514651</v>
      </c>
      <c r="AB37" s="3">
        <f t="shared" si="17"/>
        <v>109661007.86664167</v>
      </c>
      <c r="AC37" s="3">
        <f t="shared" si="18"/>
        <v>169974.56219329414</v>
      </c>
      <c r="AD37" s="3">
        <f t="shared" si="19"/>
        <v>615724.43327053462</v>
      </c>
      <c r="AE37" s="3">
        <f t="shared" si="20"/>
        <v>169974.56219329414</v>
      </c>
      <c r="AF37" s="3">
        <f t="shared" si="21"/>
        <v>445749.87107724044</v>
      </c>
      <c r="AG37" s="3">
        <f t="shared" si="22"/>
        <v>0</v>
      </c>
      <c r="AH37" s="3">
        <f t="shared" si="23"/>
        <v>1000000</v>
      </c>
      <c r="AI37" s="3">
        <f t="shared" si="24"/>
        <v>0</v>
      </c>
      <c r="AJ37" s="3">
        <f t="shared" si="1"/>
        <v>169974.56219329414</v>
      </c>
      <c r="AK37" s="3">
        <f t="shared" si="2"/>
        <v>0</v>
      </c>
      <c r="AL37" s="3">
        <f t="shared" si="25"/>
        <v>109491033.30444838</v>
      </c>
      <c r="AM37" s="3">
        <f t="shared" si="37"/>
        <v>1000000</v>
      </c>
      <c r="AN37" s="3">
        <f t="shared" si="26"/>
        <v>0</v>
      </c>
      <c r="AO37" s="3">
        <f t="shared" si="27"/>
        <v>1000000</v>
      </c>
      <c r="AP37" s="3">
        <f t="shared" si="28"/>
        <v>1000000</v>
      </c>
      <c r="AQ37" s="3">
        <f t="shared" si="29"/>
        <v>445749.87107724044</v>
      </c>
      <c r="AR37" s="3">
        <f t="shared" si="30"/>
        <v>0</v>
      </c>
      <c r="AS37" s="3">
        <f t="shared" si="31"/>
        <v>1000000</v>
      </c>
      <c r="AT37" s="3">
        <f t="shared" si="32"/>
        <v>445749.87107724044</v>
      </c>
    </row>
    <row r="38" spans="1:46" ht="14.5" x14ac:dyDescent="0.35">
      <c r="A38" s="1">
        <v>26</v>
      </c>
      <c r="B38" s="3">
        <v>9428619.5541483909</v>
      </c>
      <c r="C38" s="3">
        <v>1477578.3621131987</v>
      </c>
      <c r="E38" s="15">
        <v>7.5950000000000004E-2</v>
      </c>
      <c r="F38" s="14">
        <f t="shared" si="33"/>
        <v>8.5000000000000353E-4</v>
      </c>
      <c r="G38" s="14">
        <f t="shared" si="34"/>
        <v>8.5000000000000353E-4</v>
      </c>
      <c r="I38" s="14">
        <f t="shared" si="35"/>
        <v>2.1538461538461541E-2</v>
      </c>
      <c r="J38" s="50">
        <f t="shared" si="3"/>
        <v>0.58939255979503624</v>
      </c>
      <c r="K38" s="16">
        <f t="shared" si="4"/>
        <v>5684317.2661061976</v>
      </c>
      <c r="L38" s="16">
        <f t="shared" si="5"/>
        <v>890801.04967111337</v>
      </c>
      <c r="N38" s="1">
        <v>26</v>
      </c>
      <c r="O38" s="3">
        <f t="shared" si="36"/>
        <v>109491033.30444838</v>
      </c>
      <c r="P38" s="3">
        <f t="shared" si="6"/>
        <v>45621.263876853489</v>
      </c>
      <c r="Q38" s="3">
        <f t="shared" si="7"/>
        <v>45621.263876853489</v>
      </c>
      <c r="R38" s="3">
        <v>0</v>
      </c>
      <c r="S38" s="3">
        <f t="shared" si="8"/>
        <v>845179.78579425986</v>
      </c>
      <c r="T38" s="3">
        <f t="shared" si="9"/>
        <v>273727.58326112095</v>
      </c>
      <c r="U38" s="3">
        <f t="shared" si="10"/>
        <v>845179.78579425986</v>
      </c>
      <c r="V38" s="3">
        <f t="shared" si="11"/>
        <v>273727.58326112095</v>
      </c>
      <c r="W38" s="3">
        <f t="shared" si="12"/>
        <v>0</v>
      </c>
      <c r="X38" s="3">
        <f t="shared" si="13"/>
        <v>571452.20253313892</v>
      </c>
      <c r="Y38" s="3">
        <f t="shared" si="14"/>
        <v>5684317.2661061976</v>
      </c>
      <c r="Z38" s="3">
        <f t="shared" si="15"/>
        <v>2235836.9608258316</v>
      </c>
      <c r="AA38" s="3">
        <f t="shared" si="16"/>
        <v>7920154.2269320292</v>
      </c>
      <c r="AB38" s="3">
        <f t="shared" si="17"/>
        <v>101570879.07751635</v>
      </c>
      <c r="AC38" s="3">
        <f t="shared" si="18"/>
        <v>86335.247215889249</v>
      </c>
      <c r="AD38" s="3">
        <f t="shared" si="19"/>
        <v>571452.20253313892</v>
      </c>
      <c r="AE38" s="3">
        <f t="shared" si="20"/>
        <v>86335.247215889249</v>
      </c>
      <c r="AF38" s="3">
        <f t="shared" si="21"/>
        <v>485116.95531724964</v>
      </c>
      <c r="AG38" s="3">
        <f t="shared" si="22"/>
        <v>0</v>
      </c>
      <c r="AH38" s="3">
        <f t="shared" si="23"/>
        <v>1000000</v>
      </c>
      <c r="AI38" s="3">
        <f t="shared" si="24"/>
        <v>0</v>
      </c>
      <c r="AJ38" s="3">
        <f t="shared" si="1"/>
        <v>86335.247215889249</v>
      </c>
      <c r="AK38" s="3">
        <f t="shared" si="2"/>
        <v>0</v>
      </c>
      <c r="AL38" s="3">
        <f t="shared" si="25"/>
        <v>101484543.83030047</v>
      </c>
      <c r="AM38" s="3">
        <f t="shared" si="37"/>
        <v>1000000</v>
      </c>
      <c r="AN38" s="3">
        <f t="shared" si="26"/>
        <v>0</v>
      </c>
      <c r="AO38" s="3">
        <f t="shared" si="27"/>
        <v>1000000</v>
      </c>
      <c r="AP38" s="3">
        <f t="shared" si="28"/>
        <v>1000000</v>
      </c>
      <c r="AQ38" s="3">
        <f t="shared" si="29"/>
        <v>485116.95531724964</v>
      </c>
      <c r="AR38" s="3">
        <f t="shared" si="30"/>
        <v>0</v>
      </c>
      <c r="AS38" s="3">
        <f t="shared" si="31"/>
        <v>1000000</v>
      </c>
      <c r="AT38" s="3">
        <f t="shared" si="32"/>
        <v>485116.95531724964</v>
      </c>
    </row>
    <row r="39" spans="1:46" ht="14.5" x14ac:dyDescent="0.35">
      <c r="A39" s="1">
        <v>27</v>
      </c>
      <c r="B39" s="3">
        <v>9305271.1632002816</v>
      </c>
      <c r="C39" s="3">
        <v>1400347.285307223</v>
      </c>
      <c r="E39" s="15">
        <v>7.7649999999999997E-2</v>
      </c>
      <c r="F39" s="14">
        <f t="shared" si="33"/>
        <v>1.6999999999999932E-3</v>
      </c>
      <c r="G39" s="14">
        <f t="shared" si="34"/>
        <v>1.6999999999999932E-3</v>
      </c>
      <c r="I39" s="14">
        <f t="shared" si="35"/>
        <v>2.20125786163522E-2</v>
      </c>
      <c r="J39" s="50">
        <f t="shared" si="3"/>
        <v>0.57543859827010269</v>
      </c>
      <c r="K39" s="16">
        <f t="shared" si="4"/>
        <v>5484457.5904655484</v>
      </c>
      <c r="L39" s="16">
        <f t="shared" si="5"/>
        <v>825354.27108925406</v>
      </c>
      <c r="N39" s="1">
        <v>27</v>
      </c>
      <c r="O39" s="3">
        <f t="shared" si="36"/>
        <v>101484543.83030047</v>
      </c>
      <c r="P39" s="3">
        <f t="shared" si="6"/>
        <v>42285.226595958527</v>
      </c>
      <c r="Q39" s="3">
        <f t="shared" si="7"/>
        <v>42285.226595958527</v>
      </c>
      <c r="R39" s="3">
        <v>0</v>
      </c>
      <c r="S39" s="3">
        <f t="shared" si="8"/>
        <v>783069.04449329549</v>
      </c>
      <c r="T39" s="3">
        <f t="shared" si="9"/>
        <v>253711.35957575118</v>
      </c>
      <c r="U39" s="3">
        <f t="shared" si="10"/>
        <v>783069.04449329549</v>
      </c>
      <c r="V39" s="3">
        <f t="shared" si="11"/>
        <v>253711.35957575118</v>
      </c>
      <c r="W39" s="3">
        <f t="shared" si="12"/>
        <v>0</v>
      </c>
      <c r="X39" s="3">
        <f t="shared" si="13"/>
        <v>529357.68491754425</v>
      </c>
      <c r="Y39" s="3">
        <f t="shared" si="14"/>
        <v>5484457.5904655484</v>
      </c>
      <c r="Z39" s="3">
        <f t="shared" si="15"/>
        <v>2113209.4455309571</v>
      </c>
      <c r="AA39" s="3">
        <f t="shared" si="16"/>
        <v>7597667.035996506</v>
      </c>
      <c r="AB39" s="3">
        <f t="shared" si="17"/>
        <v>93886876.794303954</v>
      </c>
      <c r="AC39" s="3">
        <f t="shared" si="18"/>
        <v>159607.69055031607</v>
      </c>
      <c r="AD39" s="3">
        <f t="shared" si="19"/>
        <v>529357.68491754425</v>
      </c>
      <c r="AE39" s="3">
        <f t="shared" si="20"/>
        <v>159607.69055031607</v>
      </c>
      <c r="AF39" s="3">
        <f t="shared" si="21"/>
        <v>369749.99436722818</v>
      </c>
      <c r="AG39" s="3">
        <f t="shared" si="22"/>
        <v>0</v>
      </c>
      <c r="AH39" s="3">
        <f t="shared" si="23"/>
        <v>1000000</v>
      </c>
      <c r="AI39" s="3">
        <f t="shared" si="24"/>
        <v>0</v>
      </c>
      <c r="AJ39" s="3">
        <f t="shared" si="1"/>
        <v>159607.69055031607</v>
      </c>
      <c r="AK39" s="3">
        <f t="shared" si="2"/>
        <v>0</v>
      </c>
      <c r="AL39" s="3">
        <f t="shared" si="25"/>
        <v>93727269.103753641</v>
      </c>
      <c r="AM39" s="3">
        <f t="shared" si="37"/>
        <v>1000000</v>
      </c>
      <c r="AN39" s="3">
        <f t="shared" si="26"/>
        <v>0</v>
      </c>
      <c r="AO39" s="3">
        <f t="shared" si="27"/>
        <v>1000000</v>
      </c>
      <c r="AP39" s="3">
        <f t="shared" si="28"/>
        <v>1000000</v>
      </c>
      <c r="AQ39" s="3">
        <f t="shared" si="29"/>
        <v>369749.99436722818</v>
      </c>
      <c r="AR39" s="3">
        <f t="shared" si="30"/>
        <v>0</v>
      </c>
      <c r="AS39" s="3">
        <f t="shared" si="31"/>
        <v>1000000</v>
      </c>
      <c r="AT39" s="3">
        <f t="shared" si="32"/>
        <v>369749.99436722818</v>
      </c>
    </row>
    <row r="40" spans="1:46" ht="14.5" x14ac:dyDescent="0.35">
      <c r="A40" s="1">
        <v>28</v>
      </c>
      <c r="B40" s="3">
        <v>9172892.1002772022</v>
      </c>
      <c r="C40" s="3">
        <v>1324096.7687445912</v>
      </c>
      <c r="E40" s="15">
        <v>7.85E-2</v>
      </c>
      <c r="F40" s="14">
        <f t="shared" si="33"/>
        <v>8.5000000000000353E-4</v>
      </c>
      <c r="G40" s="14">
        <f t="shared" si="34"/>
        <v>8.5000000000000353E-4</v>
      </c>
      <c r="I40" s="14">
        <f t="shared" si="35"/>
        <v>2.2508038585209004E-2</v>
      </c>
      <c r="J40" s="50">
        <f t="shared" si="3"/>
        <v>0.56200849048333834</v>
      </c>
      <c r="K40" s="16">
        <f t="shared" si="4"/>
        <v>5278436.1722664116</v>
      </c>
      <c r="L40" s="16">
        <f t="shared" si="5"/>
        <v>761936.38858035987</v>
      </c>
      <c r="N40" s="1">
        <v>28</v>
      </c>
      <c r="O40" s="3">
        <f t="shared" si="36"/>
        <v>93727269.103753641</v>
      </c>
      <c r="P40" s="3">
        <f t="shared" si="6"/>
        <v>39053.028793230689</v>
      </c>
      <c r="Q40" s="3">
        <f t="shared" si="7"/>
        <v>39053.028793230689</v>
      </c>
      <c r="R40" s="3">
        <v>0</v>
      </c>
      <c r="S40" s="3">
        <f t="shared" si="8"/>
        <v>722883.35978712921</v>
      </c>
      <c r="T40" s="3">
        <f t="shared" si="9"/>
        <v>234318.17275938412</v>
      </c>
      <c r="U40" s="3">
        <f t="shared" si="10"/>
        <v>722883.35978712921</v>
      </c>
      <c r="V40" s="3">
        <f t="shared" si="11"/>
        <v>234318.17275938412</v>
      </c>
      <c r="W40" s="3">
        <f t="shared" si="12"/>
        <v>0</v>
      </c>
      <c r="X40" s="3">
        <f t="shared" si="13"/>
        <v>488565.18702774507</v>
      </c>
      <c r="Y40" s="3">
        <f t="shared" si="14"/>
        <v>5278436.1722664116</v>
      </c>
      <c r="Z40" s="3">
        <f t="shared" si="15"/>
        <v>1990809.7444386194</v>
      </c>
      <c r="AA40" s="3">
        <f t="shared" si="16"/>
        <v>7269245.9167050309</v>
      </c>
      <c r="AB40" s="3">
        <f t="shared" si="17"/>
        <v>86458023.187048614</v>
      </c>
      <c r="AC40" s="3">
        <f t="shared" si="18"/>
        <v>73489.319708991621</v>
      </c>
      <c r="AD40" s="3">
        <f t="shared" si="19"/>
        <v>488565.18702774507</v>
      </c>
      <c r="AE40" s="3">
        <f t="shared" si="20"/>
        <v>73489.319708991621</v>
      </c>
      <c r="AF40" s="3">
        <f t="shared" si="21"/>
        <v>415075.86731875344</v>
      </c>
      <c r="AG40" s="3">
        <f t="shared" si="22"/>
        <v>0</v>
      </c>
      <c r="AH40" s="3">
        <f t="shared" si="23"/>
        <v>1000000</v>
      </c>
      <c r="AI40" s="3">
        <f t="shared" si="24"/>
        <v>0</v>
      </c>
      <c r="AJ40" s="3">
        <f t="shared" si="1"/>
        <v>73489.319708991621</v>
      </c>
      <c r="AK40" s="3">
        <f t="shared" si="2"/>
        <v>0</v>
      </c>
      <c r="AL40" s="3">
        <f t="shared" si="25"/>
        <v>86384533.867339626</v>
      </c>
      <c r="AM40" s="3">
        <f t="shared" si="37"/>
        <v>1000000</v>
      </c>
      <c r="AN40" s="3">
        <f t="shared" si="26"/>
        <v>0</v>
      </c>
      <c r="AO40" s="3">
        <f t="shared" si="27"/>
        <v>1000000</v>
      </c>
      <c r="AP40" s="3">
        <f t="shared" si="28"/>
        <v>1000000</v>
      </c>
      <c r="AQ40" s="3">
        <f t="shared" si="29"/>
        <v>415075.86731875344</v>
      </c>
      <c r="AR40" s="3">
        <f t="shared" si="30"/>
        <v>0</v>
      </c>
      <c r="AS40" s="3">
        <f t="shared" si="31"/>
        <v>1000000</v>
      </c>
      <c r="AT40" s="3">
        <f t="shared" si="32"/>
        <v>415075.86731875344</v>
      </c>
    </row>
    <row r="41" spans="1:46" ht="14.5" x14ac:dyDescent="0.35">
      <c r="A41" s="1">
        <v>29</v>
      </c>
      <c r="B41" s="3">
        <v>8987584.3224090952</v>
      </c>
      <c r="C41" s="3">
        <v>1248873.7593342818</v>
      </c>
      <c r="E41" s="15">
        <v>7.8949999999999992E-2</v>
      </c>
      <c r="F41" s="14">
        <f t="shared" si="33"/>
        <v>4.4999999999999207E-4</v>
      </c>
      <c r="G41" s="14">
        <f t="shared" si="34"/>
        <v>4.4999999999999207E-4</v>
      </c>
      <c r="I41" s="14">
        <f t="shared" si="35"/>
        <v>2.3026315789473686E-2</v>
      </c>
      <c r="J41" s="50">
        <f t="shared" si="3"/>
        <v>0.54882042512762641</v>
      </c>
      <c r="K41" s="16">
        <f t="shared" si="4"/>
        <v>5051098.698128853</v>
      </c>
      <c r="L41" s="16">
        <f t="shared" si="5"/>
        <v>701877.6562877117</v>
      </c>
      <c r="N41" s="1">
        <v>29</v>
      </c>
      <c r="O41" s="3">
        <f t="shared" si="36"/>
        <v>86384533.867339626</v>
      </c>
      <c r="P41" s="3">
        <f t="shared" si="6"/>
        <v>35993.55577805818</v>
      </c>
      <c r="Q41" s="3">
        <f t="shared" si="7"/>
        <v>35993.55577805818</v>
      </c>
      <c r="R41" s="3">
        <v>0</v>
      </c>
      <c r="S41" s="3">
        <f t="shared" si="8"/>
        <v>665884.10050965357</v>
      </c>
      <c r="T41" s="3">
        <f t="shared" si="9"/>
        <v>215961.33466834907</v>
      </c>
      <c r="U41" s="3">
        <f t="shared" si="10"/>
        <v>665884.10050965357</v>
      </c>
      <c r="V41" s="3">
        <f t="shared" si="11"/>
        <v>215961.33466834907</v>
      </c>
      <c r="W41" s="3">
        <f t="shared" si="12"/>
        <v>0</v>
      </c>
      <c r="X41" s="3">
        <f t="shared" si="13"/>
        <v>449922.7658413045</v>
      </c>
      <c r="Y41" s="3">
        <f t="shared" si="14"/>
        <v>5051098.698128853</v>
      </c>
      <c r="Z41" s="3">
        <f t="shared" si="15"/>
        <v>1872809.3624489326</v>
      </c>
      <c r="AA41" s="3">
        <f t="shared" si="16"/>
        <v>6923908.0605777856</v>
      </c>
      <c r="AB41" s="3">
        <f t="shared" si="17"/>
        <v>79460625.806761846</v>
      </c>
      <c r="AC41" s="3">
        <f t="shared" si="18"/>
        <v>35757.2816130422</v>
      </c>
      <c r="AD41" s="3">
        <f t="shared" si="19"/>
        <v>449922.7658413045</v>
      </c>
      <c r="AE41" s="3">
        <f t="shared" si="20"/>
        <v>35757.2816130422</v>
      </c>
      <c r="AF41" s="3">
        <f t="shared" si="21"/>
        <v>414165.48422826233</v>
      </c>
      <c r="AG41" s="3">
        <f t="shared" si="22"/>
        <v>0</v>
      </c>
      <c r="AH41" s="3">
        <f t="shared" si="23"/>
        <v>1000000</v>
      </c>
      <c r="AI41" s="3">
        <f t="shared" si="24"/>
        <v>0</v>
      </c>
      <c r="AJ41" s="3">
        <f t="shared" si="1"/>
        <v>35757.2816130422</v>
      </c>
      <c r="AK41" s="3">
        <f t="shared" si="2"/>
        <v>0</v>
      </c>
      <c r="AL41" s="3">
        <f t="shared" si="25"/>
        <v>79424868.525148809</v>
      </c>
      <c r="AM41" s="3">
        <f t="shared" si="37"/>
        <v>1000000</v>
      </c>
      <c r="AN41" s="3">
        <f t="shared" si="26"/>
        <v>0</v>
      </c>
      <c r="AO41" s="3">
        <f t="shared" si="27"/>
        <v>1000000</v>
      </c>
      <c r="AP41" s="3">
        <f t="shared" si="28"/>
        <v>1000000</v>
      </c>
      <c r="AQ41" s="3">
        <f t="shared" si="29"/>
        <v>414165.48422826233</v>
      </c>
      <c r="AR41" s="3">
        <f t="shared" si="30"/>
        <v>0</v>
      </c>
      <c r="AS41" s="3">
        <f t="shared" si="31"/>
        <v>1000000</v>
      </c>
      <c r="AT41" s="3">
        <f t="shared" si="32"/>
        <v>414165.48422826233</v>
      </c>
    </row>
    <row r="42" spans="1:46" ht="14.5" x14ac:dyDescent="0.35">
      <c r="A42" s="1">
        <v>30</v>
      </c>
      <c r="B42" s="3">
        <v>8733376.5716665126</v>
      </c>
      <c r="C42" s="3">
        <v>1175134.2474486055</v>
      </c>
      <c r="E42" s="15">
        <v>7.984999999999999E-2</v>
      </c>
      <c r="F42" s="14">
        <f t="shared" si="33"/>
        <v>8.9999999999999802E-4</v>
      </c>
      <c r="G42" s="14">
        <f t="shared" si="34"/>
        <v>8.9999999999999802E-4</v>
      </c>
      <c r="I42" s="14">
        <f t="shared" si="35"/>
        <v>2.3569023569023569E-2</v>
      </c>
      <c r="J42" s="50">
        <f t="shared" si="3"/>
        <v>0.53540296685539857</v>
      </c>
      <c r="K42" s="16">
        <f t="shared" si="4"/>
        <v>4793055.4428616678</v>
      </c>
      <c r="L42" s="16">
        <f t="shared" si="5"/>
        <v>644937.67726677703</v>
      </c>
      <c r="N42" s="1">
        <v>30</v>
      </c>
      <c r="O42" s="3">
        <f t="shared" si="36"/>
        <v>79424868.525148809</v>
      </c>
      <c r="P42" s="3">
        <f t="shared" si="6"/>
        <v>33093.695218812005</v>
      </c>
      <c r="Q42" s="3">
        <f t="shared" si="7"/>
        <v>33093.695218812005</v>
      </c>
      <c r="R42" s="3">
        <v>0</v>
      </c>
      <c r="S42" s="3">
        <f t="shared" si="8"/>
        <v>611843.98204796505</v>
      </c>
      <c r="T42" s="3">
        <f t="shared" si="9"/>
        <v>198562.17131287203</v>
      </c>
      <c r="U42" s="3">
        <f t="shared" si="10"/>
        <v>611843.98204796505</v>
      </c>
      <c r="V42" s="3">
        <f t="shared" si="11"/>
        <v>198562.17131287203</v>
      </c>
      <c r="W42" s="3">
        <f t="shared" si="12"/>
        <v>0</v>
      </c>
      <c r="X42" s="3">
        <f t="shared" si="13"/>
        <v>413281.81073509302</v>
      </c>
      <c r="Y42" s="3">
        <f t="shared" si="14"/>
        <v>4793055.4428616678</v>
      </c>
      <c r="Z42" s="3">
        <f t="shared" si="15"/>
        <v>1758998.9615353874</v>
      </c>
      <c r="AA42" s="3">
        <f t="shared" si="16"/>
        <v>6552054.4043970555</v>
      </c>
      <c r="AB42" s="3">
        <f t="shared" si="17"/>
        <v>72872814.120751753</v>
      </c>
      <c r="AC42" s="3">
        <f t="shared" si="18"/>
        <v>65585.53270867643</v>
      </c>
      <c r="AD42" s="3">
        <f t="shared" si="19"/>
        <v>413281.81073509302</v>
      </c>
      <c r="AE42" s="3">
        <f t="shared" si="20"/>
        <v>65585.53270867643</v>
      </c>
      <c r="AF42" s="3">
        <f t="shared" si="21"/>
        <v>347696.27802641661</v>
      </c>
      <c r="AG42" s="3">
        <f t="shared" si="22"/>
        <v>0</v>
      </c>
      <c r="AH42" s="3">
        <f t="shared" si="23"/>
        <v>1000000</v>
      </c>
      <c r="AI42" s="3">
        <f t="shared" si="24"/>
        <v>0</v>
      </c>
      <c r="AJ42" s="3">
        <f t="shared" si="1"/>
        <v>65585.53270867643</v>
      </c>
      <c r="AK42" s="3">
        <f t="shared" si="2"/>
        <v>0</v>
      </c>
      <c r="AL42" s="3">
        <f t="shared" si="25"/>
        <v>72807228.588043079</v>
      </c>
      <c r="AM42" s="3">
        <f t="shared" si="37"/>
        <v>1000000</v>
      </c>
      <c r="AN42" s="3">
        <f t="shared" si="26"/>
        <v>0</v>
      </c>
      <c r="AO42" s="3">
        <f t="shared" si="27"/>
        <v>1000000</v>
      </c>
      <c r="AP42" s="3">
        <f t="shared" si="28"/>
        <v>1000000</v>
      </c>
      <c r="AQ42" s="3">
        <f t="shared" si="29"/>
        <v>347696.27802641661</v>
      </c>
      <c r="AR42" s="3">
        <f t="shared" si="30"/>
        <v>0</v>
      </c>
      <c r="AS42" s="3">
        <f t="shared" si="31"/>
        <v>1000000</v>
      </c>
      <c r="AT42" s="3">
        <f t="shared" si="32"/>
        <v>347696.27802641661</v>
      </c>
    </row>
    <row r="43" spans="1:46" ht="14.5" x14ac:dyDescent="0.35">
      <c r="A43" s="1">
        <v>31</v>
      </c>
      <c r="B43" s="3">
        <v>8506979.2766066249</v>
      </c>
      <c r="C43" s="3">
        <v>1103396.4134494816</v>
      </c>
      <c r="E43" s="15">
        <v>8.0299999999999996E-2</v>
      </c>
      <c r="F43" s="14">
        <f t="shared" si="33"/>
        <v>4.5000000000000595E-4</v>
      </c>
      <c r="G43" s="14">
        <f t="shared" si="34"/>
        <v>4.5000000000000595E-4</v>
      </c>
      <c r="I43" s="14">
        <f t="shared" si="35"/>
        <v>2.4137931034482755E-2</v>
      </c>
      <c r="J43" s="50">
        <f t="shared" si="3"/>
        <v>0.52224433121465086</v>
      </c>
      <c r="K43" s="16">
        <f t="shared" si="4"/>
        <v>4554661.9436725797</v>
      </c>
      <c r="L43" s="16">
        <f t="shared" si="5"/>
        <v>590761.7133784584</v>
      </c>
      <c r="N43" s="1">
        <v>31</v>
      </c>
      <c r="O43" s="3">
        <f t="shared" si="36"/>
        <v>72807228.588043079</v>
      </c>
      <c r="P43" s="3">
        <f t="shared" si="6"/>
        <v>30336.34524501795</v>
      </c>
      <c r="Q43" s="3">
        <f t="shared" si="7"/>
        <v>30336.34524501795</v>
      </c>
      <c r="R43" s="3">
        <v>0</v>
      </c>
      <c r="S43" s="3">
        <f t="shared" si="8"/>
        <v>560425.3681334405</v>
      </c>
      <c r="T43" s="3">
        <f t="shared" si="9"/>
        <v>182018.07147010771</v>
      </c>
      <c r="U43" s="3">
        <f t="shared" si="10"/>
        <v>560425.3681334405</v>
      </c>
      <c r="V43" s="3">
        <f t="shared" si="11"/>
        <v>182018.07147010771</v>
      </c>
      <c r="W43" s="3">
        <f t="shared" si="12"/>
        <v>0</v>
      </c>
      <c r="X43" s="3">
        <f t="shared" si="13"/>
        <v>378407.29666333279</v>
      </c>
      <c r="Y43" s="3">
        <f t="shared" si="14"/>
        <v>4554661.9436725797</v>
      </c>
      <c r="Z43" s="3">
        <f t="shared" si="15"/>
        <v>1647475.7465882532</v>
      </c>
      <c r="AA43" s="3">
        <f t="shared" si="16"/>
        <v>6202137.6902608331</v>
      </c>
      <c r="AB43" s="3">
        <f t="shared" si="17"/>
        <v>66605090.897782244</v>
      </c>
      <c r="AC43" s="3">
        <f t="shared" si="18"/>
        <v>29972.290904002406</v>
      </c>
      <c r="AD43" s="3">
        <f t="shared" si="19"/>
        <v>378407.29666333279</v>
      </c>
      <c r="AE43" s="3">
        <f t="shared" si="20"/>
        <v>29972.290904002406</v>
      </c>
      <c r="AF43" s="3">
        <f t="shared" si="21"/>
        <v>348435.00575933041</v>
      </c>
      <c r="AG43" s="3">
        <f t="shared" si="22"/>
        <v>0</v>
      </c>
      <c r="AH43" s="3">
        <f t="shared" si="23"/>
        <v>1000000</v>
      </c>
      <c r="AI43" s="3">
        <f t="shared" si="24"/>
        <v>0</v>
      </c>
      <c r="AJ43" s="3">
        <f t="shared" si="1"/>
        <v>29972.290904002406</v>
      </c>
      <c r="AK43" s="3">
        <f t="shared" si="2"/>
        <v>0</v>
      </c>
      <c r="AL43" s="3">
        <f t="shared" si="25"/>
        <v>66575118.606878243</v>
      </c>
      <c r="AM43" s="3">
        <f t="shared" si="37"/>
        <v>1000000</v>
      </c>
      <c r="AN43" s="3">
        <f t="shared" si="26"/>
        <v>0</v>
      </c>
      <c r="AO43" s="3">
        <f t="shared" si="27"/>
        <v>1000000</v>
      </c>
      <c r="AP43" s="3">
        <f t="shared" si="28"/>
        <v>1000000</v>
      </c>
      <c r="AQ43" s="3">
        <f t="shared" si="29"/>
        <v>348435.00575933041</v>
      </c>
      <c r="AR43" s="3">
        <f t="shared" si="30"/>
        <v>0</v>
      </c>
      <c r="AS43" s="3">
        <f t="shared" si="31"/>
        <v>1000000</v>
      </c>
      <c r="AT43" s="3">
        <f t="shared" si="32"/>
        <v>348435.00575933041</v>
      </c>
    </row>
    <row r="44" spans="1:46" ht="14.5" x14ac:dyDescent="0.35">
      <c r="A44" s="1">
        <v>32</v>
      </c>
      <c r="B44" s="3">
        <v>8277576.004905967</v>
      </c>
      <c r="C44" s="3">
        <v>1033496.0038859867</v>
      </c>
      <c r="E44" s="15">
        <v>8.0699999999999994E-2</v>
      </c>
      <c r="F44" s="14">
        <f t="shared" si="33"/>
        <v>3.9999999999999758E-4</v>
      </c>
      <c r="G44" s="14">
        <f t="shared" si="34"/>
        <v>3.9999999999999758E-4</v>
      </c>
      <c r="I44" s="14">
        <f t="shared" si="35"/>
        <v>2.4734982332155476E-2</v>
      </c>
      <c r="J44" s="50">
        <f t="shared" si="3"/>
        <v>0.50912289625822449</v>
      </c>
      <c r="K44" s="16">
        <f t="shared" si="4"/>
        <v>4322917.1447605584</v>
      </c>
      <c r="L44" s="16">
        <f t="shared" si="5"/>
        <v>539737.42936245131</v>
      </c>
      <c r="N44" s="1">
        <v>32</v>
      </c>
      <c r="O44" s="3">
        <f t="shared" si="36"/>
        <v>66575118.606878243</v>
      </c>
      <c r="P44" s="3">
        <f t="shared" si="6"/>
        <v>27739.632752865935</v>
      </c>
      <c r="Q44" s="3">
        <f t="shared" si="7"/>
        <v>27739.632752865935</v>
      </c>
      <c r="R44" s="3">
        <v>0</v>
      </c>
      <c r="S44" s="3">
        <f t="shared" si="8"/>
        <v>511997.79660958535</v>
      </c>
      <c r="T44" s="3">
        <f t="shared" si="9"/>
        <v>166437.79651719562</v>
      </c>
      <c r="U44" s="3">
        <f t="shared" si="10"/>
        <v>511997.79660958535</v>
      </c>
      <c r="V44" s="3">
        <f t="shared" si="11"/>
        <v>166437.79651719562</v>
      </c>
      <c r="W44" s="3">
        <f t="shared" si="12"/>
        <v>0</v>
      </c>
      <c r="X44" s="3">
        <f t="shared" si="13"/>
        <v>345560.00009238976</v>
      </c>
      <c r="Y44" s="3">
        <f t="shared" si="14"/>
        <v>4322917.1447605584</v>
      </c>
      <c r="Z44" s="3">
        <f t="shared" si="15"/>
        <v>1539807.1033032644</v>
      </c>
      <c r="AA44" s="3">
        <f t="shared" si="16"/>
        <v>5862724.2480638232</v>
      </c>
      <c r="AB44" s="3">
        <f t="shared" si="17"/>
        <v>60712394.358814418</v>
      </c>
      <c r="AC44" s="3">
        <f t="shared" si="18"/>
        <v>24284.957743525621</v>
      </c>
      <c r="AD44" s="3">
        <f t="shared" si="19"/>
        <v>345560.00009238976</v>
      </c>
      <c r="AE44" s="3">
        <f t="shared" si="20"/>
        <v>24284.957743525621</v>
      </c>
      <c r="AF44" s="3">
        <f t="shared" si="21"/>
        <v>321275.04234886414</v>
      </c>
      <c r="AG44" s="3">
        <f t="shared" si="22"/>
        <v>0</v>
      </c>
      <c r="AH44" s="3">
        <f t="shared" si="23"/>
        <v>1000000</v>
      </c>
      <c r="AI44" s="3">
        <f t="shared" si="24"/>
        <v>0</v>
      </c>
      <c r="AJ44" s="3">
        <f t="shared" si="1"/>
        <v>24284.957743525621</v>
      </c>
      <c r="AK44" s="3">
        <f t="shared" si="2"/>
        <v>0</v>
      </c>
      <c r="AL44" s="3">
        <f t="shared" si="25"/>
        <v>60688109.401070893</v>
      </c>
      <c r="AM44" s="3">
        <f t="shared" si="37"/>
        <v>1000000</v>
      </c>
      <c r="AN44" s="3">
        <f t="shared" si="26"/>
        <v>0</v>
      </c>
      <c r="AO44" s="3">
        <f t="shared" si="27"/>
        <v>1000000</v>
      </c>
      <c r="AP44" s="3">
        <f t="shared" si="28"/>
        <v>1000000</v>
      </c>
      <c r="AQ44" s="3">
        <f t="shared" si="29"/>
        <v>321275.04234886414</v>
      </c>
      <c r="AR44" s="3">
        <f t="shared" si="30"/>
        <v>0</v>
      </c>
      <c r="AS44" s="3">
        <f t="shared" si="31"/>
        <v>1000000</v>
      </c>
      <c r="AT44" s="3">
        <f t="shared" si="32"/>
        <v>321275.04234886414</v>
      </c>
    </row>
    <row r="45" spans="1:46" ht="14.5" x14ac:dyDescent="0.35">
      <c r="A45" s="1">
        <v>33</v>
      </c>
      <c r="B45" s="3">
        <v>8108167.2967211716</v>
      </c>
      <c r="C45" s="3">
        <v>965497.30246530613</v>
      </c>
      <c r="E45" s="15">
        <v>8.1499999999999989E-2</v>
      </c>
      <c r="F45" s="14">
        <f t="shared" si="33"/>
        <v>7.9999999999999516E-4</v>
      </c>
      <c r="G45" s="14">
        <f t="shared" si="34"/>
        <v>7.9999999999999516E-4</v>
      </c>
      <c r="I45" s="14">
        <f t="shared" si="35"/>
        <v>2.5362318840579708E-2</v>
      </c>
      <c r="J45" s="50">
        <f t="shared" si="3"/>
        <v>0.49581339074705655</v>
      </c>
      <c r="K45" s="16">
        <f t="shared" si="4"/>
        <v>4128053.6174529013</v>
      </c>
      <c r="L45" s="16">
        <f t="shared" si="5"/>
        <v>491556.78296063963</v>
      </c>
      <c r="N45" s="1">
        <v>33</v>
      </c>
      <c r="O45" s="3">
        <f t="shared" si="36"/>
        <v>60688109.401070893</v>
      </c>
      <c r="P45" s="3">
        <f t="shared" ref="P45:P76" si="38">O45*ServicingFee/12</f>
        <v>25286.712250446206</v>
      </c>
      <c r="Q45" s="3">
        <f t="shared" si="7"/>
        <v>25286.712250446206</v>
      </c>
      <c r="R45" s="3">
        <v>0</v>
      </c>
      <c r="S45" s="3">
        <f t="shared" si="8"/>
        <v>466270.07071019342</v>
      </c>
      <c r="T45" s="3">
        <f t="shared" ref="T45:T76" si="39">O45*(Coupon/12)</f>
        <v>151720.27350267724</v>
      </c>
      <c r="U45" s="3">
        <f t="shared" si="10"/>
        <v>466270.07071019342</v>
      </c>
      <c r="V45" s="3">
        <f t="shared" si="11"/>
        <v>151720.27350267724</v>
      </c>
      <c r="W45" s="3">
        <f t="shared" si="12"/>
        <v>0</v>
      </c>
      <c r="X45" s="3">
        <f t="shared" si="13"/>
        <v>314549.79720751615</v>
      </c>
      <c r="Y45" s="3">
        <f t="shared" si="14"/>
        <v>4128053.6174529013</v>
      </c>
      <c r="Z45" s="3">
        <f t="shared" si="15"/>
        <v>1434494.1684250939</v>
      </c>
      <c r="AA45" s="3">
        <f t="shared" si="16"/>
        <v>5562547.7858779952</v>
      </c>
      <c r="AB45" s="3">
        <f t="shared" si="17"/>
        <v>55125561.615192898</v>
      </c>
      <c r="AC45" s="3">
        <f t="shared" si="18"/>
        <v>44100.449292154051</v>
      </c>
      <c r="AD45" s="3">
        <f t="shared" si="19"/>
        <v>314549.79720751615</v>
      </c>
      <c r="AE45" s="3">
        <f t="shared" si="20"/>
        <v>44100.449292154051</v>
      </c>
      <c r="AF45" s="3">
        <f t="shared" si="21"/>
        <v>270449.3479153621</v>
      </c>
      <c r="AG45" s="3">
        <f t="shared" si="22"/>
        <v>0</v>
      </c>
      <c r="AH45" s="3">
        <f t="shared" si="23"/>
        <v>1000000</v>
      </c>
      <c r="AI45" s="3">
        <f t="shared" si="24"/>
        <v>0</v>
      </c>
      <c r="AJ45" s="3">
        <f t="shared" si="1"/>
        <v>44100.449292154051</v>
      </c>
      <c r="AK45" s="3">
        <f t="shared" si="2"/>
        <v>0</v>
      </c>
      <c r="AL45" s="3">
        <f t="shared" si="25"/>
        <v>55081461.165900744</v>
      </c>
      <c r="AM45" s="3">
        <f t="shared" si="37"/>
        <v>1000000</v>
      </c>
      <c r="AN45" s="3">
        <f t="shared" si="26"/>
        <v>0</v>
      </c>
      <c r="AO45" s="3">
        <f t="shared" si="27"/>
        <v>1000000</v>
      </c>
      <c r="AP45" s="3">
        <f t="shared" si="28"/>
        <v>1000000</v>
      </c>
      <c r="AQ45" s="3">
        <f t="shared" si="29"/>
        <v>270449.3479153621</v>
      </c>
      <c r="AR45" s="3">
        <f t="shared" si="30"/>
        <v>0</v>
      </c>
      <c r="AS45" s="3">
        <f t="shared" si="31"/>
        <v>1000000</v>
      </c>
      <c r="AT45" s="3">
        <f t="shared" si="32"/>
        <v>270449.3479153621</v>
      </c>
    </row>
    <row r="46" spans="1:46" ht="14.5" x14ac:dyDescent="0.35">
      <c r="A46" s="1">
        <v>34</v>
      </c>
      <c r="B46" s="3">
        <v>7958542.0822660364</v>
      </c>
      <c r="C46" s="3">
        <v>898890.9038793752</v>
      </c>
      <c r="E46" s="15">
        <v>8.1900000000000001E-2</v>
      </c>
      <c r="F46" s="14">
        <f t="shared" si="33"/>
        <v>4.0000000000001146E-4</v>
      </c>
      <c r="G46" s="14">
        <f t="shared" si="34"/>
        <v>4.0000000000001146E-4</v>
      </c>
      <c r="I46" s="14">
        <f t="shared" si="35"/>
        <v>2.6022304832713755E-2</v>
      </c>
      <c r="J46" s="50">
        <f t="shared" si="3"/>
        <v>0.48271801907947409</v>
      </c>
      <c r="K46" s="16">
        <f t="shared" si="4"/>
        <v>3945951.7352114632</v>
      </c>
      <c r="L46" s="16">
        <f t="shared" si="5"/>
        <v>445682.14696411951</v>
      </c>
      <c r="N46" s="1">
        <v>34</v>
      </c>
      <c r="O46" s="3">
        <f t="shared" si="36"/>
        <v>55081461.165900744</v>
      </c>
      <c r="P46" s="3">
        <f t="shared" si="38"/>
        <v>22950.608819125311</v>
      </c>
      <c r="Q46" s="3">
        <f t="shared" si="7"/>
        <v>22950.608819125311</v>
      </c>
      <c r="R46" s="3">
        <v>0</v>
      </c>
      <c r="S46" s="3">
        <f t="shared" si="8"/>
        <v>422731.53814499418</v>
      </c>
      <c r="T46" s="3">
        <f t="shared" si="39"/>
        <v>137703.65291475187</v>
      </c>
      <c r="U46" s="3">
        <f t="shared" si="10"/>
        <v>422731.53814499418</v>
      </c>
      <c r="V46" s="3">
        <f t="shared" si="11"/>
        <v>137703.65291475187</v>
      </c>
      <c r="W46" s="3">
        <f t="shared" si="12"/>
        <v>0</v>
      </c>
      <c r="X46" s="3">
        <f t="shared" si="13"/>
        <v>285027.88523024227</v>
      </c>
      <c r="Y46" s="3">
        <f t="shared" si="14"/>
        <v>3945951.7352114632</v>
      </c>
      <c r="Z46" s="3">
        <f t="shared" si="15"/>
        <v>1330663.8141815055</v>
      </c>
      <c r="AA46" s="3">
        <f t="shared" si="16"/>
        <v>5276615.5493929684</v>
      </c>
      <c r="AB46" s="3">
        <f t="shared" si="17"/>
        <v>49804845.616507776</v>
      </c>
      <c r="AC46" s="3">
        <f t="shared" si="18"/>
        <v>19921.93824660368</v>
      </c>
      <c r="AD46" s="3">
        <f t="shared" si="19"/>
        <v>285027.88523024227</v>
      </c>
      <c r="AE46" s="3">
        <f t="shared" si="20"/>
        <v>19921.93824660368</v>
      </c>
      <c r="AF46" s="3">
        <f t="shared" si="21"/>
        <v>265105.94698363857</v>
      </c>
      <c r="AG46" s="3">
        <f t="shared" si="22"/>
        <v>0</v>
      </c>
      <c r="AH46" s="3">
        <f t="shared" si="23"/>
        <v>1000000</v>
      </c>
      <c r="AI46" s="3">
        <f t="shared" si="24"/>
        <v>0</v>
      </c>
      <c r="AJ46" s="3">
        <f t="shared" si="1"/>
        <v>19921.93824660368</v>
      </c>
      <c r="AK46" s="3">
        <f t="shared" si="2"/>
        <v>0</v>
      </c>
      <c r="AL46" s="3">
        <f t="shared" si="25"/>
        <v>49784923.678261176</v>
      </c>
      <c r="AM46" s="3">
        <f t="shared" si="37"/>
        <v>1000000</v>
      </c>
      <c r="AN46" s="3">
        <f t="shared" si="26"/>
        <v>0</v>
      </c>
      <c r="AO46" s="3">
        <f t="shared" si="27"/>
        <v>1000000</v>
      </c>
      <c r="AP46" s="3">
        <f t="shared" si="28"/>
        <v>1000000</v>
      </c>
      <c r="AQ46" s="3">
        <f t="shared" si="29"/>
        <v>265105.94698363857</v>
      </c>
      <c r="AR46" s="3">
        <f t="shared" si="30"/>
        <v>0</v>
      </c>
      <c r="AS46" s="3">
        <f t="shared" si="31"/>
        <v>1000000</v>
      </c>
      <c r="AT46" s="3">
        <f t="shared" si="32"/>
        <v>265105.94698363857</v>
      </c>
    </row>
    <row r="47" spans="1:46" ht="14.5" x14ac:dyDescent="0.35">
      <c r="A47" s="1">
        <v>35</v>
      </c>
      <c r="B47" s="3">
        <v>7812082.6179247443</v>
      </c>
      <c r="C47" s="3">
        <v>833558.37022773479</v>
      </c>
      <c r="E47" s="15">
        <v>8.2000000000000003E-2</v>
      </c>
      <c r="F47" s="14">
        <f t="shared" si="33"/>
        <v>1.0000000000000286E-4</v>
      </c>
      <c r="G47" s="14">
        <f t="shared" si="34"/>
        <v>1.0000000000000286E-4</v>
      </c>
      <c r="I47" s="14">
        <f t="shared" si="35"/>
        <v>2.6717557251908396E-2</v>
      </c>
      <c r="J47" s="50">
        <f t="shared" si="3"/>
        <v>0.46977399067091363</v>
      </c>
      <c r="K47" s="16">
        <f t="shared" si="4"/>
        <v>3771033.0462098247</v>
      </c>
      <c r="L47" s="16">
        <f t="shared" si="5"/>
        <v>402373.64526344702</v>
      </c>
      <c r="N47" s="1">
        <v>35</v>
      </c>
      <c r="O47" s="3">
        <f t="shared" si="36"/>
        <v>49784923.678261176</v>
      </c>
      <c r="P47" s="3">
        <f t="shared" si="38"/>
        <v>20743.718199275489</v>
      </c>
      <c r="Q47" s="3">
        <f t="shared" si="7"/>
        <v>20743.718199275489</v>
      </c>
      <c r="R47" s="3">
        <v>0</v>
      </c>
      <c r="S47" s="3">
        <f t="shared" si="8"/>
        <v>381629.92706417153</v>
      </c>
      <c r="T47" s="3">
        <f t="shared" si="39"/>
        <v>124462.30919565294</v>
      </c>
      <c r="U47" s="3">
        <f t="shared" si="10"/>
        <v>381629.92706417153</v>
      </c>
      <c r="V47" s="3">
        <f t="shared" si="11"/>
        <v>124462.30919565294</v>
      </c>
      <c r="W47" s="3">
        <f t="shared" si="12"/>
        <v>0</v>
      </c>
      <c r="X47" s="3">
        <f t="shared" si="13"/>
        <v>257167.61786851857</v>
      </c>
      <c r="Y47" s="3">
        <f t="shared" si="14"/>
        <v>3771033.0462098247</v>
      </c>
      <c r="Z47" s="3">
        <f t="shared" si="15"/>
        <v>1229378.7573448834</v>
      </c>
      <c r="AA47" s="3">
        <f t="shared" si="16"/>
        <v>5000411.8035547081</v>
      </c>
      <c r="AB47" s="3">
        <f t="shared" si="17"/>
        <v>44784511.874706469</v>
      </c>
      <c r="AC47" s="3">
        <f t="shared" si="18"/>
        <v>4478.451187470775</v>
      </c>
      <c r="AD47" s="3">
        <f t="shared" si="19"/>
        <v>257167.61786851857</v>
      </c>
      <c r="AE47" s="3">
        <f t="shared" si="20"/>
        <v>4478.451187470775</v>
      </c>
      <c r="AF47" s="3">
        <f t="shared" si="21"/>
        <v>252689.16668104779</v>
      </c>
      <c r="AG47" s="3">
        <f t="shared" si="22"/>
        <v>0</v>
      </c>
      <c r="AH47" s="3">
        <f t="shared" si="23"/>
        <v>1000000</v>
      </c>
      <c r="AI47" s="3">
        <f t="shared" si="24"/>
        <v>0</v>
      </c>
      <c r="AJ47" s="3">
        <f t="shared" si="1"/>
        <v>4478.451187470775</v>
      </c>
      <c r="AK47" s="3">
        <f t="shared" si="2"/>
        <v>0</v>
      </c>
      <c r="AL47" s="3">
        <f t="shared" si="25"/>
        <v>44780033.423519</v>
      </c>
      <c r="AM47" s="3">
        <f t="shared" si="37"/>
        <v>1000000</v>
      </c>
      <c r="AN47" s="3">
        <f t="shared" si="26"/>
        <v>0</v>
      </c>
      <c r="AO47" s="3">
        <f t="shared" si="27"/>
        <v>1000000</v>
      </c>
      <c r="AP47" s="3">
        <f t="shared" si="28"/>
        <v>1000000</v>
      </c>
      <c r="AQ47" s="3">
        <f t="shared" si="29"/>
        <v>252689.16668104779</v>
      </c>
      <c r="AR47" s="3">
        <f t="shared" si="30"/>
        <v>0</v>
      </c>
      <c r="AS47" s="3">
        <f t="shared" si="31"/>
        <v>1000000</v>
      </c>
      <c r="AT47" s="3">
        <f t="shared" si="32"/>
        <v>252689.16668104779</v>
      </c>
    </row>
    <row r="48" spans="1:46" ht="14.5" x14ac:dyDescent="0.35">
      <c r="A48" s="1">
        <v>36</v>
      </c>
      <c r="B48" s="3">
        <v>7614957.7334936038</v>
      </c>
      <c r="C48" s="3">
        <v>769499.1330558426</v>
      </c>
      <c r="E48" s="15">
        <v>8.2100000000000006E-2</v>
      </c>
      <c r="F48" s="14">
        <f t="shared" si="33"/>
        <v>1.0000000000000286E-4</v>
      </c>
      <c r="G48" s="14">
        <f t="shared" si="34"/>
        <v>1.0000000000000286E-4</v>
      </c>
      <c r="I48" s="14">
        <f t="shared" si="35"/>
        <v>2.7450980392156862E-2</v>
      </c>
      <c r="J48" s="50">
        <f t="shared" si="3"/>
        <v>0.45683254624085468</v>
      </c>
      <c r="K48" s="16">
        <f t="shared" si="4"/>
        <v>3577309.0832536258</v>
      </c>
      <c r="L48" s="16">
        <f t="shared" si="5"/>
        <v>361490.67855345155</v>
      </c>
      <c r="N48" s="1">
        <v>36</v>
      </c>
      <c r="O48" s="3">
        <f t="shared" si="36"/>
        <v>44780033.423519</v>
      </c>
      <c r="P48" s="3">
        <f t="shared" si="38"/>
        <v>18658.347259799582</v>
      </c>
      <c r="Q48" s="3">
        <f t="shared" si="7"/>
        <v>18658.347259799582</v>
      </c>
      <c r="R48" s="3">
        <v>0</v>
      </c>
      <c r="S48" s="3">
        <f t="shared" si="8"/>
        <v>342832.33129365195</v>
      </c>
      <c r="T48" s="3">
        <f t="shared" si="39"/>
        <v>111950.0835587975</v>
      </c>
      <c r="U48" s="3">
        <f t="shared" si="10"/>
        <v>342832.33129365195</v>
      </c>
      <c r="V48" s="3">
        <f t="shared" si="11"/>
        <v>111950.0835587975</v>
      </c>
      <c r="W48" s="3">
        <f t="shared" si="12"/>
        <v>0</v>
      </c>
      <c r="X48" s="3">
        <f t="shared" si="13"/>
        <v>230882.24773485446</v>
      </c>
      <c r="Y48" s="3">
        <f t="shared" si="14"/>
        <v>3577309.0832536258</v>
      </c>
      <c r="Z48" s="3">
        <f t="shared" si="15"/>
        <v>1131055.1779680692</v>
      </c>
      <c r="AA48" s="3">
        <f t="shared" si="16"/>
        <v>4708364.2612216948</v>
      </c>
      <c r="AB48" s="3">
        <f t="shared" si="17"/>
        <v>40071669.162297308</v>
      </c>
      <c r="AC48" s="3">
        <f t="shared" si="18"/>
        <v>4007.1669162298458</v>
      </c>
      <c r="AD48" s="3">
        <f t="shared" si="19"/>
        <v>230882.24773485446</v>
      </c>
      <c r="AE48" s="3">
        <f t="shared" si="20"/>
        <v>4007.1669162298458</v>
      </c>
      <c r="AF48" s="3">
        <f t="shared" si="21"/>
        <v>226875.08081862461</v>
      </c>
      <c r="AG48" s="3">
        <f t="shared" si="22"/>
        <v>0</v>
      </c>
      <c r="AH48" s="3">
        <f t="shared" si="23"/>
        <v>1000000</v>
      </c>
      <c r="AI48" s="3">
        <f t="shared" si="24"/>
        <v>0</v>
      </c>
      <c r="AJ48" s="3">
        <f t="shared" si="1"/>
        <v>4007.1669162298458</v>
      </c>
      <c r="AK48" s="3">
        <f t="shared" si="2"/>
        <v>0</v>
      </c>
      <c r="AL48" s="3">
        <f t="shared" si="25"/>
        <v>40067661.99538108</v>
      </c>
      <c r="AM48" s="3">
        <f t="shared" si="37"/>
        <v>1000000</v>
      </c>
      <c r="AN48" s="3">
        <f t="shared" si="26"/>
        <v>0</v>
      </c>
      <c r="AO48" s="3">
        <f t="shared" si="27"/>
        <v>1000000</v>
      </c>
      <c r="AP48" s="3">
        <f t="shared" si="28"/>
        <v>1000000</v>
      </c>
      <c r="AQ48" s="3">
        <f t="shared" si="29"/>
        <v>226875.08081862461</v>
      </c>
      <c r="AR48" s="3">
        <f t="shared" si="30"/>
        <v>0</v>
      </c>
      <c r="AS48" s="3">
        <f t="shared" si="31"/>
        <v>1000000</v>
      </c>
      <c r="AT48" s="3">
        <f t="shared" si="32"/>
        <v>226875.08081862461</v>
      </c>
    </row>
    <row r="49" spans="1:46" ht="14.5" x14ac:dyDescent="0.35">
      <c r="A49" s="1">
        <v>37</v>
      </c>
      <c r="B49" s="3">
        <v>7380086.5603452772</v>
      </c>
      <c r="C49" s="3">
        <v>707105.65059882205</v>
      </c>
      <c r="E49" s="15">
        <v>8.2200000000000009E-2</v>
      </c>
      <c r="F49" s="14">
        <f t="shared" si="33"/>
        <v>1.0000000000000286E-4</v>
      </c>
      <c r="G49" s="14">
        <f t="shared" si="34"/>
        <v>1.0000000000000286E-4</v>
      </c>
      <c r="I49" s="14">
        <f t="shared" si="35"/>
        <v>2.8225806451612902E-2</v>
      </c>
      <c r="J49" s="50">
        <f t="shared" si="3"/>
        <v>0.44389368540194185</v>
      </c>
      <c r="K49" s="16">
        <f t="shared" si="4"/>
        <v>3371463.7348404438</v>
      </c>
      <c r="L49" s="16">
        <f t="shared" si="5"/>
        <v>323028.874824356</v>
      </c>
      <c r="N49" s="1">
        <v>37</v>
      </c>
      <c r="O49" s="3">
        <f t="shared" si="36"/>
        <v>40067661.99538108</v>
      </c>
      <c r="P49" s="3">
        <f t="shared" si="38"/>
        <v>16694.859164742116</v>
      </c>
      <c r="Q49" s="3">
        <f t="shared" si="7"/>
        <v>16694.859164742116</v>
      </c>
      <c r="R49" s="3">
        <v>0</v>
      </c>
      <c r="S49" s="3">
        <f t="shared" si="8"/>
        <v>306334.01565961388</v>
      </c>
      <c r="T49" s="3">
        <f t="shared" si="39"/>
        <v>100169.1549884527</v>
      </c>
      <c r="U49" s="3">
        <f t="shared" si="10"/>
        <v>306334.01565961388</v>
      </c>
      <c r="V49" s="3">
        <f t="shared" si="11"/>
        <v>100169.1549884527</v>
      </c>
      <c r="W49" s="3">
        <f t="shared" si="12"/>
        <v>0</v>
      </c>
      <c r="X49" s="3">
        <f t="shared" si="13"/>
        <v>206164.86067116118</v>
      </c>
      <c r="Y49" s="3">
        <f t="shared" si="14"/>
        <v>3371463.7348404438</v>
      </c>
      <c r="Z49" s="3">
        <f t="shared" si="15"/>
        <v>1035779.789612034</v>
      </c>
      <c r="AA49" s="3">
        <f t="shared" si="16"/>
        <v>4407243.5244524777</v>
      </c>
      <c r="AB49" s="3">
        <f t="shared" si="17"/>
        <v>35660418.470928602</v>
      </c>
      <c r="AC49" s="3">
        <f t="shared" si="18"/>
        <v>3566.0418470929621</v>
      </c>
      <c r="AD49" s="3">
        <f t="shared" si="19"/>
        <v>206164.86067116118</v>
      </c>
      <c r="AE49" s="3">
        <f t="shared" si="20"/>
        <v>3566.0418470929621</v>
      </c>
      <c r="AF49" s="3">
        <f t="shared" si="21"/>
        <v>202598.81882406821</v>
      </c>
      <c r="AG49" s="3">
        <f t="shared" si="22"/>
        <v>0</v>
      </c>
      <c r="AH49" s="3">
        <f t="shared" si="23"/>
        <v>1000000</v>
      </c>
      <c r="AI49" s="3">
        <f t="shared" si="24"/>
        <v>0</v>
      </c>
      <c r="AJ49" s="3">
        <f t="shared" si="1"/>
        <v>3566.0418470929621</v>
      </c>
      <c r="AK49" s="3">
        <f t="shared" si="2"/>
        <v>0</v>
      </c>
      <c r="AL49" s="3">
        <f t="shared" si="25"/>
        <v>35656852.429081507</v>
      </c>
      <c r="AM49" s="3">
        <f t="shared" si="37"/>
        <v>1000000</v>
      </c>
      <c r="AN49" s="3">
        <f t="shared" si="26"/>
        <v>0</v>
      </c>
      <c r="AO49" s="3">
        <f t="shared" si="27"/>
        <v>1000000</v>
      </c>
      <c r="AP49" s="3">
        <f t="shared" si="28"/>
        <v>1000000</v>
      </c>
      <c r="AQ49" s="3">
        <f t="shared" si="29"/>
        <v>202598.81882406821</v>
      </c>
      <c r="AR49" s="3">
        <f t="shared" si="30"/>
        <v>0</v>
      </c>
      <c r="AS49" s="3">
        <f t="shared" si="31"/>
        <v>1000000</v>
      </c>
      <c r="AT49" s="3">
        <f t="shared" si="32"/>
        <v>202598.81882406821</v>
      </c>
    </row>
    <row r="50" spans="1:46" ht="14.5" x14ac:dyDescent="0.35">
      <c r="A50" s="1">
        <v>38</v>
      </c>
      <c r="B50" s="3">
        <v>7115211.0632049209</v>
      </c>
      <c r="C50" s="3">
        <v>646699.35040361166</v>
      </c>
      <c r="E50" s="15">
        <v>8.2300000000000012E-2</v>
      </c>
      <c r="F50" s="14">
        <f t="shared" si="33"/>
        <v>1.0000000000000286E-4</v>
      </c>
      <c r="G50" s="14">
        <f t="shared" si="34"/>
        <v>1.0000000000000286E-4</v>
      </c>
      <c r="I50" s="14">
        <f t="shared" si="35"/>
        <v>2.9045643153526972E-2</v>
      </c>
      <c r="J50" s="50">
        <f t="shared" si="3"/>
        <v>0.4309574077668713</v>
      </c>
      <c r="K50" s="16">
        <f t="shared" si="4"/>
        <v>3158397.2612587013</v>
      </c>
      <c r="L50" s="16">
        <f t="shared" si="5"/>
        <v>287065.75799770094</v>
      </c>
      <c r="N50" s="1">
        <v>38</v>
      </c>
      <c r="O50" s="3">
        <f t="shared" si="36"/>
        <v>35656852.429081507</v>
      </c>
      <c r="P50" s="3">
        <f t="shared" si="38"/>
        <v>14857.021845450627</v>
      </c>
      <c r="Q50" s="3">
        <f t="shared" si="7"/>
        <v>14857.021845450627</v>
      </c>
      <c r="R50" s="3">
        <v>0</v>
      </c>
      <c r="S50" s="3">
        <f t="shared" si="8"/>
        <v>272208.73615225032</v>
      </c>
      <c r="T50" s="3">
        <f t="shared" si="39"/>
        <v>89142.131072703763</v>
      </c>
      <c r="U50" s="3">
        <f t="shared" si="10"/>
        <v>272208.73615225032</v>
      </c>
      <c r="V50" s="3">
        <f t="shared" si="11"/>
        <v>89142.131072703763</v>
      </c>
      <c r="W50" s="3">
        <f t="shared" si="12"/>
        <v>0</v>
      </c>
      <c r="X50" s="3">
        <f t="shared" si="13"/>
        <v>183066.60507954657</v>
      </c>
      <c r="Y50" s="3">
        <f t="shared" si="14"/>
        <v>3158397.2612587013</v>
      </c>
      <c r="Z50" s="3">
        <f t="shared" si="15"/>
        <v>943938.53184547566</v>
      </c>
      <c r="AA50" s="3">
        <f t="shared" si="16"/>
        <v>4102335.7931041769</v>
      </c>
      <c r="AB50" s="3">
        <f t="shared" si="17"/>
        <v>31554516.635977332</v>
      </c>
      <c r="AC50" s="3">
        <f t="shared" si="18"/>
        <v>3155.4516635978234</v>
      </c>
      <c r="AD50" s="3">
        <f t="shared" si="19"/>
        <v>183066.60507954657</v>
      </c>
      <c r="AE50" s="3">
        <f t="shared" si="20"/>
        <v>3155.4516635978234</v>
      </c>
      <c r="AF50" s="3">
        <f t="shared" si="21"/>
        <v>179911.15341594873</v>
      </c>
      <c r="AG50" s="3">
        <f t="shared" si="22"/>
        <v>0</v>
      </c>
      <c r="AH50" s="3">
        <f t="shared" si="23"/>
        <v>1000000</v>
      </c>
      <c r="AI50" s="3">
        <f t="shared" si="24"/>
        <v>0</v>
      </c>
      <c r="AJ50" s="3">
        <f t="shared" si="1"/>
        <v>3155.4516635978234</v>
      </c>
      <c r="AK50" s="3">
        <f t="shared" si="2"/>
        <v>0</v>
      </c>
      <c r="AL50" s="3">
        <f t="shared" si="25"/>
        <v>31551361.184313733</v>
      </c>
      <c r="AM50" s="3">
        <f t="shared" si="37"/>
        <v>1000000</v>
      </c>
      <c r="AN50" s="3">
        <f t="shared" si="26"/>
        <v>0</v>
      </c>
      <c r="AO50" s="3">
        <f t="shared" si="27"/>
        <v>1000000</v>
      </c>
      <c r="AP50" s="3">
        <f t="shared" si="28"/>
        <v>1000000</v>
      </c>
      <c r="AQ50" s="3">
        <f t="shared" si="29"/>
        <v>179911.15341594873</v>
      </c>
      <c r="AR50" s="3">
        <f t="shared" si="30"/>
        <v>0</v>
      </c>
      <c r="AS50" s="3">
        <f t="shared" si="31"/>
        <v>1000000</v>
      </c>
      <c r="AT50" s="3">
        <f t="shared" si="32"/>
        <v>179911.15341594873</v>
      </c>
    </row>
    <row r="51" spans="1:46" ht="14.5" x14ac:dyDescent="0.35">
      <c r="A51" s="1">
        <v>39</v>
      </c>
      <c r="B51" s="3">
        <v>6863890.7943603899</v>
      </c>
      <c r="C51" s="3">
        <v>588531.42476423946</v>
      </c>
      <c r="E51" s="15">
        <v>8.2400000000000015E-2</v>
      </c>
      <c r="F51" s="14">
        <f t="shared" si="33"/>
        <v>1.0000000000000286E-4</v>
      </c>
      <c r="G51" s="14">
        <f t="shared" si="34"/>
        <v>1.0000000000000286E-4</v>
      </c>
      <c r="I51" s="14">
        <f t="shared" si="35"/>
        <v>2.9914529914529916E-2</v>
      </c>
      <c r="J51" s="50">
        <f t="shared" si="3"/>
        <v>0.41802371294839097</v>
      </c>
      <c r="K51" s="16">
        <f t="shared" si="4"/>
        <v>2958044.5839324449</v>
      </c>
      <c r="L51" s="16">
        <f t="shared" si="5"/>
        <v>253631.97720574008</v>
      </c>
      <c r="N51" s="1">
        <v>39</v>
      </c>
      <c r="O51" s="3">
        <f t="shared" si="36"/>
        <v>31551361.184313733</v>
      </c>
      <c r="P51" s="3">
        <f t="shared" si="38"/>
        <v>13146.400493464056</v>
      </c>
      <c r="Q51" s="3">
        <f t="shared" si="7"/>
        <v>13146.400493464056</v>
      </c>
      <c r="R51" s="3">
        <v>0</v>
      </c>
      <c r="S51" s="3">
        <f t="shared" si="8"/>
        <v>240485.57671227603</v>
      </c>
      <c r="T51" s="3">
        <f t="shared" si="39"/>
        <v>78878.40296078434</v>
      </c>
      <c r="U51" s="3">
        <f t="shared" si="10"/>
        <v>240485.57671227603</v>
      </c>
      <c r="V51" s="3">
        <f t="shared" si="11"/>
        <v>78878.40296078434</v>
      </c>
      <c r="W51" s="3">
        <f t="shared" si="12"/>
        <v>0</v>
      </c>
      <c r="X51" s="3">
        <f t="shared" si="13"/>
        <v>161607.1737514917</v>
      </c>
      <c r="Y51" s="3">
        <f t="shared" si="14"/>
        <v>2958044.5839324449</v>
      </c>
      <c r="Z51" s="3">
        <f t="shared" si="15"/>
        <v>855355.62479773094</v>
      </c>
      <c r="AA51" s="3">
        <f t="shared" si="16"/>
        <v>3813400.2087301761</v>
      </c>
      <c r="AB51" s="3">
        <f t="shared" si="17"/>
        <v>27737960.975583557</v>
      </c>
      <c r="AC51" s="3">
        <f t="shared" si="18"/>
        <v>2773.7960975584351</v>
      </c>
      <c r="AD51" s="3">
        <f t="shared" si="19"/>
        <v>161607.1737514917</v>
      </c>
      <c r="AE51" s="3">
        <f t="shared" si="20"/>
        <v>2773.7960975584351</v>
      </c>
      <c r="AF51" s="3">
        <f t="shared" si="21"/>
        <v>158833.37765393328</v>
      </c>
      <c r="AG51" s="3">
        <f t="shared" si="22"/>
        <v>0</v>
      </c>
      <c r="AH51" s="3">
        <f t="shared" si="23"/>
        <v>1000000</v>
      </c>
      <c r="AI51" s="3">
        <f t="shared" si="24"/>
        <v>0</v>
      </c>
      <c r="AJ51" s="3">
        <f t="shared" si="1"/>
        <v>2773.7960975584351</v>
      </c>
      <c r="AK51" s="3">
        <f t="shared" si="2"/>
        <v>0</v>
      </c>
      <c r="AL51" s="3">
        <f t="shared" si="25"/>
        <v>27735187.179485999</v>
      </c>
      <c r="AM51" s="3">
        <f t="shared" si="37"/>
        <v>1000000</v>
      </c>
      <c r="AN51" s="3">
        <f t="shared" si="26"/>
        <v>0</v>
      </c>
      <c r="AO51" s="3">
        <f t="shared" si="27"/>
        <v>1000000</v>
      </c>
      <c r="AP51" s="3">
        <f t="shared" si="28"/>
        <v>1000000</v>
      </c>
      <c r="AQ51" s="3">
        <f t="shared" si="29"/>
        <v>158833.37765393328</v>
      </c>
      <c r="AR51" s="3">
        <f t="shared" si="30"/>
        <v>0</v>
      </c>
      <c r="AS51" s="3">
        <f t="shared" si="31"/>
        <v>1000000</v>
      </c>
      <c r="AT51" s="3">
        <f t="shared" si="32"/>
        <v>158833.37765393328</v>
      </c>
    </row>
    <row r="52" spans="1:46" ht="14.5" x14ac:dyDescent="0.35">
      <c r="A52" s="1">
        <v>40</v>
      </c>
      <c r="B52" s="3">
        <v>6618377.9643018944</v>
      </c>
      <c r="C52" s="3">
        <v>532463.41406487382</v>
      </c>
      <c r="E52" s="15">
        <v>8.2500000000000018E-2</v>
      </c>
      <c r="F52" s="14">
        <f t="shared" si="33"/>
        <v>1.0000000000000286E-4</v>
      </c>
      <c r="G52" s="14">
        <f t="shared" si="34"/>
        <v>1.0000000000000286E-4</v>
      </c>
      <c r="I52" s="14">
        <f t="shared" si="35"/>
        <v>3.0837004405286347E-2</v>
      </c>
      <c r="J52" s="50">
        <f t="shared" si="3"/>
        <v>0.40509260055930024</v>
      </c>
      <c r="K52" s="16">
        <f t="shared" si="4"/>
        <v>2766638.9303332912</v>
      </c>
      <c r="L52" s="16">
        <f t="shared" si="5"/>
        <v>222582.33335657505</v>
      </c>
      <c r="N52" s="1">
        <v>40</v>
      </c>
      <c r="O52" s="3">
        <f t="shared" si="36"/>
        <v>27735187.179485999</v>
      </c>
      <c r="P52" s="3">
        <f t="shared" si="38"/>
        <v>11556.327991452499</v>
      </c>
      <c r="Q52" s="3">
        <f t="shared" si="7"/>
        <v>11556.327991452499</v>
      </c>
      <c r="R52" s="3">
        <v>0</v>
      </c>
      <c r="S52" s="3">
        <f t="shared" si="8"/>
        <v>211026.00536512255</v>
      </c>
      <c r="T52" s="3">
        <f t="shared" si="39"/>
        <v>69337.967948714999</v>
      </c>
      <c r="U52" s="3">
        <f t="shared" si="10"/>
        <v>211026.00536512255</v>
      </c>
      <c r="V52" s="3">
        <f t="shared" si="11"/>
        <v>69337.967948714999</v>
      </c>
      <c r="W52" s="3">
        <f t="shared" si="12"/>
        <v>0</v>
      </c>
      <c r="X52" s="3">
        <f t="shared" si="13"/>
        <v>141688.03741640755</v>
      </c>
      <c r="Y52" s="3">
        <f t="shared" si="14"/>
        <v>2766638.9303332912</v>
      </c>
      <c r="Z52" s="3">
        <f t="shared" si="15"/>
        <v>769955.23235272674</v>
      </c>
      <c r="AA52" s="3">
        <f t="shared" si="16"/>
        <v>3536594.1626860178</v>
      </c>
      <c r="AB52" s="3">
        <f t="shared" si="17"/>
        <v>24198593.016799983</v>
      </c>
      <c r="AC52" s="3">
        <f t="shared" si="18"/>
        <v>2419.8593016800678</v>
      </c>
      <c r="AD52" s="3">
        <f t="shared" si="19"/>
        <v>141688.03741640755</v>
      </c>
      <c r="AE52" s="3">
        <f t="shared" si="20"/>
        <v>2419.8593016800678</v>
      </c>
      <c r="AF52" s="3">
        <f t="shared" si="21"/>
        <v>139268.17811472749</v>
      </c>
      <c r="AG52" s="3">
        <f t="shared" si="22"/>
        <v>0</v>
      </c>
      <c r="AH52" s="3">
        <f t="shared" si="23"/>
        <v>1000000</v>
      </c>
      <c r="AI52" s="3">
        <f t="shared" si="24"/>
        <v>0</v>
      </c>
      <c r="AJ52" s="3">
        <f t="shared" si="1"/>
        <v>2419.8593016800678</v>
      </c>
      <c r="AK52" s="3">
        <f t="shared" si="2"/>
        <v>0</v>
      </c>
      <c r="AL52" s="3">
        <f t="shared" si="25"/>
        <v>24196173.157498304</v>
      </c>
      <c r="AM52" s="3">
        <f t="shared" si="37"/>
        <v>1000000</v>
      </c>
      <c r="AN52" s="3">
        <f t="shared" si="26"/>
        <v>0</v>
      </c>
      <c r="AO52" s="3">
        <f t="shared" si="27"/>
        <v>1000000</v>
      </c>
      <c r="AP52" s="3">
        <f t="shared" si="28"/>
        <v>1000000</v>
      </c>
      <c r="AQ52" s="3">
        <f t="shared" si="29"/>
        <v>139268.17811472749</v>
      </c>
      <c r="AR52" s="3">
        <f t="shared" si="30"/>
        <v>0</v>
      </c>
      <c r="AS52" s="3">
        <f t="shared" si="31"/>
        <v>1000000</v>
      </c>
      <c r="AT52" s="3">
        <f t="shared" si="32"/>
        <v>139268.17811472749</v>
      </c>
    </row>
    <row r="53" spans="1:46" ht="14.5" x14ac:dyDescent="0.35">
      <c r="A53" s="1">
        <v>41</v>
      </c>
      <c r="B53" s="3">
        <v>6288526.3892000755</v>
      </c>
      <c r="C53" s="3">
        <v>478466.0540171559</v>
      </c>
      <c r="E53" s="15">
        <v>8.2600000000000021E-2</v>
      </c>
      <c r="F53" s="14">
        <f t="shared" si="33"/>
        <v>1.0000000000000286E-4</v>
      </c>
      <c r="G53" s="14">
        <f t="shared" si="34"/>
        <v>1.0000000000000286E-4</v>
      </c>
      <c r="I53" s="14">
        <f t="shared" si="35"/>
        <v>3.1818181818181822E-2</v>
      </c>
      <c r="J53" s="50">
        <f t="shared" si="3"/>
        <v>0.3921640702124502</v>
      </c>
      <c r="K53" s="16">
        <f t="shared" si="4"/>
        <v>2547435.5086868447</v>
      </c>
      <c r="L53" s="16">
        <f t="shared" si="5"/>
        <v>193823.05810115632</v>
      </c>
      <c r="N53" s="1">
        <v>41</v>
      </c>
      <c r="O53" s="3">
        <f t="shared" si="36"/>
        <v>24196173.157498304</v>
      </c>
      <c r="P53" s="3">
        <f t="shared" si="38"/>
        <v>10081.738815624294</v>
      </c>
      <c r="Q53" s="3">
        <f t="shared" si="7"/>
        <v>10081.738815624294</v>
      </c>
      <c r="R53" s="3">
        <v>0</v>
      </c>
      <c r="S53" s="3">
        <f t="shared" si="8"/>
        <v>183741.31928553202</v>
      </c>
      <c r="T53" s="3">
        <f t="shared" si="39"/>
        <v>60490.432893745761</v>
      </c>
      <c r="U53" s="3">
        <f t="shared" si="10"/>
        <v>183741.31928553202</v>
      </c>
      <c r="V53" s="3">
        <f t="shared" si="11"/>
        <v>60490.432893745761</v>
      </c>
      <c r="W53" s="3">
        <f t="shared" si="12"/>
        <v>0</v>
      </c>
      <c r="X53" s="3">
        <f t="shared" si="13"/>
        <v>123250.88639178626</v>
      </c>
      <c r="Y53" s="3">
        <f t="shared" si="14"/>
        <v>2547435.5086868447</v>
      </c>
      <c r="Z53" s="3">
        <f t="shared" si="15"/>
        <v>688823.47064400103</v>
      </c>
      <c r="AA53" s="3">
        <f t="shared" si="16"/>
        <v>3236258.9793308456</v>
      </c>
      <c r="AB53" s="3">
        <f t="shared" si="17"/>
        <v>20959914.178167459</v>
      </c>
      <c r="AC53" s="3">
        <f t="shared" si="18"/>
        <v>2095.991417816806</v>
      </c>
      <c r="AD53" s="3">
        <f t="shared" si="19"/>
        <v>123250.88639178626</v>
      </c>
      <c r="AE53" s="3">
        <f t="shared" si="20"/>
        <v>2095.991417816806</v>
      </c>
      <c r="AF53" s="3">
        <f t="shared" si="21"/>
        <v>121154.89497396945</v>
      </c>
      <c r="AG53" s="3">
        <f t="shared" si="22"/>
        <v>0</v>
      </c>
      <c r="AH53" s="3">
        <f t="shared" si="23"/>
        <v>1000000</v>
      </c>
      <c r="AI53" s="3">
        <f t="shared" si="24"/>
        <v>0</v>
      </c>
      <c r="AJ53" s="3">
        <f t="shared" si="1"/>
        <v>2095.991417816806</v>
      </c>
      <c r="AK53" s="3">
        <f t="shared" si="2"/>
        <v>0</v>
      </c>
      <c r="AL53" s="3">
        <f t="shared" si="25"/>
        <v>20957818.186749641</v>
      </c>
      <c r="AM53" s="3">
        <f t="shared" si="37"/>
        <v>1000000</v>
      </c>
      <c r="AN53" s="3">
        <f t="shared" si="26"/>
        <v>0</v>
      </c>
      <c r="AO53" s="3">
        <f t="shared" si="27"/>
        <v>1000000</v>
      </c>
      <c r="AP53" s="3">
        <f t="shared" si="28"/>
        <v>1000000</v>
      </c>
      <c r="AQ53" s="3">
        <f t="shared" si="29"/>
        <v>121154.89497396945</v>
      </c>
      <c r="AR53" s="3">
        <f t="shared" si="30"/>
        <v>0</v>
      </c>
      <c r="AS53" s="3">
        <f t="shared" si="31"/>
        <v>1000000</v>
      </c>
      <c r="AT53" s="3">
        <f t="shared" si="32"/>
        <v>121154.89497396945</v>
      </c>
    </row>
    <row r="54" spans="1:46" ht="14.5" x14ac:dyDescent="0.35">
      <c r="A54" s="1">
        <v>42</v>
      </c>
      <c r="B54" s="3">
        <v>5846482.5395424189</v>
      </c>
      <c r="C54" s="3">
        <v>427251.33949142293</v>
      </c>
      <c r="E54" s="15">
        <v>8.2700000000000023E-2</v>
      </c>
      <c r="F54" s="14">
        <f t="shared" si="33"/>
        <v>1.0000000000000286E-4</v>
      </c>
      <c r="G54" s="14">
        <f t="shared" si="34"/>
        <v>1.0000000000000286E-4</v>
      </c>
      <c r="I54" s="14">
        <f t="shared" si="35"/>
        <v>3.2863849765258218E-2</v>
      </c>
      <c r="J54" s="50">
        <f t="shared" si="3"/>
        <v>0.37923812152074349</v>
      </c>
      <c r="K54" s="16">
        <f t="shared" si="4"/>
        <v>2292780.3891329775</v>
      </c>
      <c r="L54" s="16">
        <f t="shared" si="5"/>
        <v>167552.62429867778</v>
      </c>
      <c r="N54" s="1">
        <v>42</v>
      </c>
      <c r="O54" s="3">
        <f t="shared" si="36"/>
        <v>20957818.186749641</v>
      </c>
      <c r="P54" s="3">
        <f t="shared" si="38"/>
        <v>8732.4242444790161</v>
      </c>
      <c r="Q54" s="3">
        <f t="shared" si="7"/>
        <v>8732.4242444790161</v>
      </c>
      <c r="R54" s="3">
        <v>0</v>
      </c>
      <c r="S54" s="3">
        <f t="shared" si="8"/>
        <v>158820.20005419877</v>
      </c>
      <c r="T54" s="3">
        <f t="shared" si="39"/>
        <v>52394.5454668741</v>
      </c>
      <c r="U54" s="3">
        <f t="shared" si="10"/>
        <v>158820.20005419877</v>
      </c>
      <c r="V54" s="3">
        <f t="shared" si="11"/>
        <v>52394.5454668741</v>
      </c>
      <c r="W54" s="3">
        <f t="shared" si="12"/>
        <v>0</v>
      </c>
      <c r="X54" s="3">
        <f t="shared" si="13"/>
        <v>106425.65458732467</v>
      </c>
      <c r="Y54" s="3">
        <f t="shared" si="14"/>
        <v>2292780.3891329775</v>
      </c>
      <c r="Z54" s="3">
        <f t="shared" si="15"/>
        <v>613404.99804374017</v>
      </c>
      <c r="AA54" s="3">
        <f t="shared" si="16"/>
        <v>2906185.3871767176</v>
      </c>
      <c r="AB54" s="3">
        <f t="shared" si="17"/>
        <v>18051632.799572922</v>
      </c>
      <c r="AC54" s="3">
        <f t="shared" si="18"/>
        <v>1805.163279957344</v>
      </c>
      <c r="AD54" s="3">
        <f t="shared" si="19"/>
        <v>106425.65458732467</v>
      </c>
      <c r="AE54" s="3">
        <f t="shared" si="20"/>
        <v>1805.163279957344</v>
      </c>
      <c r="AF54" s="3">
        <f t="shared" si="21"/>
        <v>104620.49130736732</v>
      </c>
      <c r="AG54" s="3">
        <f t="shared" si="22"/>
        <v>0</v>
      </c>
      <c r="AH54" s="3">
        <f t="shared" si="23"/>
        <v>1000000</v>
      </c>
      <c r="AI54" s="3">
        <f t="shared" si="24"/>
        <v>0</v>
      </c>
      <c r="AJ54" s="3">
        <f t="shared" si="1"/>
        <v>1805.163279957344</v>
      </c>
      <c r="AK54" s="3">
        <f t="shared" si="2"/>
        <v>0</v>
      </c>
      <c r="AL54" s="3">
        <f t="shared" si="25"/>
        <v>18049827.636292964</v>
      </c>
      <c r="AM54" s="3">
        <f t="shared" si="37"/>
        <v>1000000</v>
      </c>
      <c r="AN54" s="3">
        <f t="shared" si="26"/>
        <v>0</v>
      </c>
      <c r="AO54" s="3">
        <f t="shared" si="27"/>
        <v>1000000</v>
      </c>
      <c r="AP54" s="3">
        <f t="shared" si="28"/>
        <v>1000000</v>
      </c>
      <c r="AQ54" s="3">
        <f t="shared" si="29"/>
        <v>104620.49130736732</v>
      </c>
      <c r="AR54" s="3">
        <f t="shared" si="30"/>
        <v>0</v>
      </c>
      <c r="AS54" s="3">
        <f t="shared" si="31"/>
        <v>1000000</v>
      </c>
      <c r="AT54" s="3">
        <f t="shared" si="32"/>
        <v>104620.49130736732</v>
      </c>
    </row>
    <row r="55" spans="1:46" ht="14.5" x14ac:dyDescent="0.35">
      <c r="A55" s="1">
        <v>43</v>
      </c>
      <c r="B55" s="3">
        <v>5390956.5915742582</v>
      </c>
      <c r="C55" s="3">
        <v>379763.04395535565</v>
      </c>
      <c r="E55" s="15">
        <v>8.2800000000000026E-2</v>
      </c>
      <c r="F55" s="14">
        <f t="shared" si="33"/>
        <v>1.0000000000000286E-4</v>
      </c>
      <c r="G55" s="14">
        <f t="shared" si="34"/>
        <v>1.0000000000000286E-4</v>
      </c>
      <c r="I55" s="14">
        <f t="shared" si="35"/>
        <v>3.3980582524271843E-2</v>
      </c>
      <c r="J55" s="50">
        <f t="shared" si="3"/>
        <v>0.36631475409713443</v>
      </c>
      <c r="K55" s="16">
        <f t="shared" si="4"/>
        <v>2044456.2509884916</v>
      </c>
      <c r="L55" s="16">
        <f t="shared" si="5"/>
        <v>144020.62341262863</v>
      </c>
      <c r="N55" s="1">
        <v>43</v>
      </c>
      <c r="O55" s="3">
        <f t="shared" si="36"/>
        <v>18049827.636292964</v>
      </c>
      <c r="P55" s="3">
        <f t="shared" si="38"/>
        <v>7520.761515122068</v>
      </c>
      <c r="Q55" s="3">
        <f t="shared" si="7"/>
        <v>7520.761515122068</v>
      </c>
      <c r="R55" s="3">
        <v>0</v>
      </c>
      <c r="S55" s="3">
        <f t="shared" si="8"/>
        <v>136499.86189750655</v>
      </c>
      <c r="T55" s="3">
        <f t="shared" si="39"/>
        <v>45124.56909073241</v>
      </c>
      <c r="U55" s="3">
        <f t="shared" si="10"/>
        <v>136499.86189750655</v>
      </c>
      <c r="V55" s="3">
        <f t="shared" si="11"/>
        <v>45124.56909073241</v>
      </c>
      <c r="W55" s="3">
        <f t="shared" si="12"/>
        <v>0</v>
      </c>
      <c r="X55" s="3">
        <f t="shared" si="13"/>
        <v>91375.292806774145</v>
      </c>
      <c r="Y55" s="3">
        <f t="shared" si="14"/>
        <v>2044456.2509884916</v>
      </c>
      <c r="Z55" s="3">
        <f t="shared" si="15"/>
        <v>543871.84318995778</v>
      </c>
      <c r="AA55" s="3">
        <f t="shared" si="16"/>
        <v>2588328.0941784494</v>
      </c>
      <c r="AB55" s="3">
        <f t="shared" si="17"/>
        <v>15461499.542114515</v>
      </c>
      <c r="AC55" s="3">
        <f t="shared" si="18"/>
        <v>1546.1499542114957</v>
      </c>
      <c r="AD55" s="3">
        <f t="shared" si="19"/>
        <v>91375.292806774145</v>
      </c>
      <c r="AE55" s="3">
        <f t="shared" si="20"/>
        <v>1546.1499542114957</v>
      </c>
      <c r="AF55" s="3">
        <f t="shared" si="21"/>
        <v>89829.142852562654</v>
      </c>
      <c r="AG55" s="3">
        <f t="shared" si="22"/>
        <v>0</v>
      </c>
      <c r="AH55" s="3">
        <f t="shared" si="23"/>
        <v>1000000</v>
      </c>
      <c r="AI55" s="3">
        <f t="shared" si="24"/>
        <v>0</v>
      </c>
      <c r="AJ55" s="3">
        <f t="shared" si="1"/>
        <v>1546.1499542114957</v>
      </c>
      <c r="AK55" s="3">
        <f t="shared" si="2"/>
        <v>0</v>
      </c>
      <c r="AL55" s="3">
        <f t="shared" si="25"/>
        <v>15459953.392160304</v>
      </c>
      <c r="AM55" s="3">
        <f t="shared" si="37"/>
        <v>1000000</v>
      </c>
      <c r="AN55" s="3">
        <f t="shared" si="26"/>
        <v>0</v>
      </c>
      <c r="AO55" s="3">
        <f t="shared" si="27"/>
        <v>1000000</v>
      </c>
      <c r="AP55" s="3">
        <f t="shared" si="28"/>
        <v>1000000</v>
      </c>
      <c r="AQ55" s="3">
        <f t="shared" si="29"/>
        <v>89829.142852562654</v>
      </c>
      <c r="AR55" s="3">
        <f t="shared" si="30"/>
        <v>0</v>
      </c>
      <c r="AS55" s="3">
        <f t="shared" si="31"/>
        <v>1000000</v>
      </c>
      <c r="AT55" s="3">
        <f t="shared" si="32"/>
        <v>89829.142852562654</v>
      </c>
    </row>
    <row r="56" spans="1:46" ht="14.5" x14ac:dyDescent="0.35">
      <c r="A56" s="1">
        <v>44</v>
      </c>
      <c r="B56" s="3">
        <v>4982726.6407855824</v>
      </c>
      <c r="C56" s="3">
        <v>336104.65405096213</v>
      </c>
      <c r="E56" s="15">
        <v>8.2900000000000029E-2</v>
      </c>
      <c r="F56" s="14">
        <f t="shared" si="33"/>
        <v>1.0000000000000286E-4</v>
      </c>
      <c r="G56" s="14">
        <f t="shared" si="34"/>
        <v>1.0000000000000286E-4</v>
      </c>
      <c r="I56" s="14">
        <f t="shared" si="35"/>
        <v>3.5175879396984924E-2</v>
      </c>
      <c r="J56" s="50">
        <f t="shared" si="3"/>
        <v>0.35339396755462887</v>
      </c>
      <c r="K56" s="16">
        <f t="shared" si="4"/>
        <v>1825246.2841526114</v>
      </c>
      <c r="L56" s="16">
        <f t="shared" si="5"/>
        <v>123120.09369958063</v>
      </c>
      <c r="N56" s="1">
        <v>44</v>
      </c>
      <c r="O56" s="3">
        <f t="shared" si="36"/>
        <v>15459953.392160304</v>
      </c>
      <c r="P56" s="3">
        <f t="shared" si="38"/>
        <v>6441.6472467334606</v>
      </c>
      <c r="Q56" s="3">
        <f t="shared" si="7"/>
        <v>6441.6472467334606</v>
      </c>
      <c r="R56" s="3">
        <v>0</v>
      </c>
      <c r="S56" s="3">
        <f t="shared" si="8"/>
        <v>116678.44645284716</v>
      </c>
      <c r="T56" s="3">
        <f t="shared" si="39"/>
        <v>38649.883480400764</v>
      </c>
      <c r="U56" s="3">
        <f t="shared" si="10"/>
        <v>116678.44645284716</v>
      </c>
      <c r="V56" s="3">
        <f t="shared" si="11"/>
        <v>38649.883480400764</v>
      </c>
      <c r="W56" s="3">
        <f t="shared" si="12"/>
        <v>0</v>
      </c>
      <c r="X56" s="3">
        <f t="shared" si="13"/>
        <v>78028.562972446394</v>
      </c>
      <c r="Y56" s="3">
        <f t="shared" si="14"/>
        <v>1825246.2841526114</v>
      </c>
      <c r="Z56" s="3">
        <f t="shared" si="15"/>
        <v>479612.81284449168</v>
      </c>
      <c r="AA56" s="3">
        <f t="shared" si="16"/>
        <v>2304859.0969971032</v>
      </c>
      <c r="AB56" s="3">
        <f t="shared" si="17"/>
        <v>13155094.295163201</v>
      </c>
      <c r="AC56" s="3">
        <f t="shared" si="18"/>
        <v>1315.5094295163578</v>
      </c>
      <c r="AD56" s="3">
        <f t="shared" si="19"/>
        <v>78028.562972446394</v>
      </c>
      <c r="AE56" s="3">
        <f t="shared" si="20"/>
        <v>1315.5094295163578</v>
      </c>
      <c r="AF56" s="3">
        <f t="shared" si="21"/>
        <v>76713.053542930036</v>
      </c>
      <c r="AG56" s="3">
        <f t="shared" si="22"/>
        <v>0</v>
      </c>
      <c r="AH56" s="3">
        <f t="shared" si="23"/>
        <v>1000000</v>
      </c>
      <c r="AI56" s="3">
        <f t="shared" si="24"/>
        <v>0</v>
      </c>
      <c r="AJ56" s="3">
        <f t="shared" si="1"/>
        <v>1315.5094295163578</v>
      </c>
      <c r="AK56" s="3">
        <f t="shared" si="2"/>
        <v>0</v>
      </c>
      <c r="AL56" s="3">
        <f t="shared" si="25"/>
        <v>13153778.785733685</v>
      </c>
      <c r="AM56" s="3">
        <f t="shared" si="37"/>
        <v>1000000</v>
      </c>
      <c r="AN56" s="3">
        <f t="shared" si="26"/>
        <v>0</v>
      </c>
      <c r="AO56" s="3">
        <f t="shared" si="27"/>
        <v>1000000</v>
      </c>
      <c r="AP56" s="3">
        <f t="shared" si="28"/>
        <v>1000000</v>
      </c>
      <c r="AQ56" s="3">
        <f t="shared" si="29"/>
        <v>76713.053542930036</v>
      </c>
      <c r="AR56" s="3">
        <f t="shared" si="30"/>
        <v>0</v>
      </c>
      <c r="AS56" s="3">
        <f t="shared" si="31"/>
        <v>1000000</v>
      </c>
      <c r="AT56" s="3">
        <f t="shared" si="32"/>
        <v>76713.053542930036</v>
      </c>
    </row>
    <row r="57" spans="1:46" ht="14.5" x14ac:dyDescent="0.35">
      <c r="A57" s="1">
        <v>45</v>
      </c>
      <c r="B57" s="3">
        <v>4630270.6627670182</v>
      </c>
      <c r="C57" s="3">
        <v>295856.80569520255</v>
      </c>
      <c r="E57" s="15">
        <v>8.3000000000000032E-2</v>
      </c>
      <c r="F57" s="14">
        <f t="shared" si="33"/>
        <v>1.0000000000000286E-4</v>
      </c>
      <c r="G57" s="14">
        <f t="shared" si="34"/>
        <v>1.0000000000000286E-4</v>
      </c>
      <c r="I57" s="14">
        <f t="shared" si="35"/>
        <v>3.6458333333333336E-2</v>
      </c>
      <c r="J57" s="50">
        <f t="shared" si="3"/>
        <v>0.34047576150628428</v>
      </c>
      <c r="K57" s="16">
        <f t="shared" si="4"/>
        <v>1636309.7203670375</v>
      </c>
      <c r="L57" s="16">
        <f t="shared" si="5"/>
        <v>104554.01039266655</v>
      </c>
      <c r="N57" s="1">
        <v>45</v>
      </c>
      <c r="O57" s="3">
        <f t="shared" si="36"/>
        <v>13153778.785733685</v>
      </c>
      <c r="P57" s="3">
        <f t="shared" si="38"/>
        <v>5480.7411607223694</v>
      </c>
      <c r="Q57" s="3">
        <f t="shared" si="7"/>
        <v>5480.7411607223694</v>
      </c>
      <c r="R57" s="3">
        <v>0</v>
      </c>
      <c r="S57" s="3">
        <f t="shared" si="8"/>
        <v>99073.26923194417</v>
      </c>
      <c r="T57" s="3">
        <f t="shared" si="39"/>
        <v>32884.446964334216</v>
      </c>
      <c r="U57" s="3">
        <f t="shared" si="10"/>
        <v>99073.26923194417</v>
      </c>
      <c r="V57" s="3">
        <f t="shared" si="11"/>
        <v>32884.446964334216</v>
      </c>
      <c r="W57" s="3">
        <f t="shared" si="12"/>
        <v>0</v>
      </c>
      <c r="X57" s="3">
        <f t="shared" si="13"/>
        <v>66188.822267609954</v>
      </c>
      <c r="Y57" s="3">
        <f t="shared" si="14"/>
        <v>1636309.7203670375</v>
      </c>
      <c r="Z57" s="3">
        <f t="shared" si="15"/>
        <v>419907.72634149238</v>
      </c>
      <c r="AA57" s="3">
        <f t="shared" si="16"/>
        <v>2056217.4467085297</v>
      </c>
      <c r="AB57" s="3">
        <f t="shared" si="17"/>
        <v>11097561.339025155</v>
      </c>
      <c r="AC57" s="3">
        <f t="shared" si="18"/>
        <v>1109.7561339025472</v>
      </c>
      <c r="AD57" s="3">
        <f t="shared" si="19"/>
        <v>66188.822267609954</v>
      </c>
      <c r="AE57" s="3">
        <f t="shared" si="20"/>
        <v>1109.7561339025472</v>
      </c>
      <c r="AF57" s="3">
        <f t="shared" si="21"/>
        <v>65079.066133707405</v>
      </c>
      <c r="AG57" s="3">
        <f t="shared" si="22"/>
        <v>0</v>
      </c>
      <c r="AH57" s="3">
        <f t="shared" si="23"/>
        <v>1000000</v>
      </c>
      <c r="AI57" s="3">
        <f t="shared" si="24"/>
        <v>0</v>
      </c>
      <c r="AJ57" s="3">
        <f t="shared" si="1"/>
        <v>1109.7561339025472</v>
      </c>
      <c r="AK57" s="3">
        <f t="shared" si="2"/>
        <v>0</v>
      </c>
      <c r="AL57" s="3">
        <f t="shared" si="25"/>
        <v>11096451.582891252</v>
      </c>
      <c r="AM57" s="3">
        <f t="shared" si="37"/>
        <v>1000000</v>
      </c>
      <c r="AN57" s="3">
        <f t="shared" si="26"/>
        <v>0</v>
      </c>
      <c r="AO57" s="3">
        <f t="shared" si="27"/>
        <v>1000000</v>
      </c>
      <c r="AP57" s="3">
        <f t="shared" si="28"/>
        <v>1000000</v>
      </c>
      <c r="AQ57" s="3">
        <f t="shared" si="29"/>
        <v>65079.066133707405</v>
      </c>
      <c r="AR57" s="3">
        <f t="shared" si="30"/>
        <v>0</v>
      </c>
      <c r="AS57" s="3">
        <f t="shared" si="31"/>
        <v>1000000</v>
      </c>
      <c r="AT57" s="3">
        <f t="shared" si="32"/>
        <v>65079.066133707405</v>
      </c>
    </row>
    <row r="58" spans="1:46" ht="14.5" x14ac:dyDescent="0.35">
      <c r="A58" s="1">
        <v>46</v>
      </c>
      <c r="B58" s="3">
        <v>4325556.7620587163</v>
      </c>
      <c r="C58" s="3">
        <v>258588.85290822457</v>
      </c>
      <c r="E58" s="15">
        <v>8.3100000000000035E-2</v>
      </c>
      <c r="F58" s="14">
        <f t="shared" si="33"/>
        <v>1.0000000000000286E-4</v>
      </c>
      <c r="G58" s="14">
        <f t="shared" si="34"/>
        <v>1.0000000000000286E-4</v>
      </c>
      <c r="I58" s="14">
        <f t="shared" si="35"/>
        <v>3.783783783783784E-2</v>
      </c>
      <c r="J58" s="50">
        <f t="shared" si="3"/>
        <v>0.32756013556520963</v>
      </c>
      <c r="K58" s="16">
        <f t="shared" si="4"/>
        <v>1472747.2325005988</v>
      </c>
      <c r="L58" s="16">
        <f t="shared" si="5"/>
        <v>88043.23661096429</v>
      </c>
      <c r="N58" s="1">
        <v>46</v>
      </c>
      <c r="O58" s="3">
        <f t="shared" si="36"/>
        <v>11096451.582891252</v>
      </c>
      <c r="P58" s="3">
        <f t="shared" si="38"/>
        <v>4623.5214928713549</v>
      </c>
      <c r="Q58" s="3">
        <f t="shared" si="7"/>
        <v>4623.5214928713549</v>
      </c>
      <c r="R58" s="3">
        <v>0</v>
      </c>
      <c r="S58" s="3">
        <f t="shared" si="8"/>
        <v>83419.715118092936</v>
      </c>
      <c r="T58" s="3">
        <f t="shared" si="39"/>
        <v>27741.128957228131</v>
      </c>
      <c r="U58" s="3">
        <f t="shared" si="10"/>
        <v>83419.715118092936</v>
      </c>
      <c r="V58" s="3">
        <f t="shared" si="11"/>
        <v>27741.128957228131</v>
      </c>
      <c r="W58" s="3">
        <f t="shared" si="12"/>
        <v>0</v>
      </c>
      <c r="X58" s="3">
        <f t="shared" si="13"/>
        <v>55678.586160864805</v>
      </c>
      <c r="Y58" s="3">
        <f t="shared" si="14"/>
        <v>1472747.2325005988</v>
      </c>
      <c r="Z58" s="3">
        <f t="shared" si="15"/>
        <v>364140.16460937611</v>
      </c>
      <c r="AA58" s="3">
        <f t="shared" si="16"/>
        <v>1836887.3971099749</v>
      </c>
      <c r="AB58" s="3">
        <f t="shared" si="17"/>
        <v>9259564.1857812777</v>
      </c>
      <c r="AC58" s="3">
        <f t="shared" si="18"/>
        <v>925.95641857815428</v>
      </c>
      <c r="AD58" s="3">
        <f t="shared" si="19"/>
        <v>55678.586160864805</v>
      </c>
      <c r="AE58" s="3">
        <f t="shared" si="20"/>
        <v>925.95641857815428</v>
      </c>
      <c r="AF58" s="3">
        <f t="shared" si="21"/>
        <v>54752.629742286648</v>
      </c>
      <c r="AG58" s="3">
        <f t="shared" si="22"/>
        <v>0</v>
      </c>
      <c r="AH58" s="3">
        <f t="shared" si="23"/>
        <v>1000000</v>
      </c>
      <c r="AI58" s="3">
        <f t="shared" si="24"/>
        <v>0</v>
      </c>
      <c r="AJ58" s="3">
        <f t="shared" si="1"/>
        <v>925.95641857815428</v>
      </c>
      <c r="AK58" s="3">
        <f t="shared" si="2"/>
        <v>0</v>
      </c>
      <c r="AL58" s="3">
        <f t="shared" si="25"/>
        <v>9258638.2293627001</v>
      </c>
      <c r="AM58" s="3">
        <f t="shared" si="37"/>
        <v>1000000</v>
      </c>
      <c r="AN58" s="3">
        <f t="shared" si="26"/>
        <v>0</v>
      </c>
      <c r="AO58" s="3">
        <f t="shared" si="27"/>
        <v>1000000</v>
      </c>
      <c r="AP58" s="3">
        <f t="shared" si="28"/>
        <v>1000000</v>
      </c>
      <c r="AQ58" s="3">
        <f t="shared" si="29"/>
        <v>54752.629742286648</v>
      </c>
      <c r="AR58" s="3">
        <f t="shared" si="30"/>
        <v>0</v>
      </c>
      <c r="AS58" s="3">
        <f t="shared" si="31"/>
        <v>1000000</v>
      </c>
      <c r="AT58" s="3">
        <f t="shared" si="32"/>
        <v>54752.629742286648</v>
      </c>
    </row>
    <row r="59" spans="1:46" ht="14.5" x14ac:dyDescent="0.35">
      <c r="A59" s="1">
        <v>47</v>
      </c>
      <c r="B59" s="3">
        <v>4039026.3400027626</v>
      </c>
      <c r="C59" s="3">
        <v>223876.53030212456</v>
      </c>
      <c r="E59" s="15">
        <v>8.3200000000000038E-2</v>
      </c>
      <c r="F59" s="14">
        <f t="shared" si="33"/>
        <v>1.0000000000000286E-4</v>
      </c>
      <c r="G59" s="14">
        <f t="shared" si="34"/>
        <v>1.0000000000000286E-4</v>
      </c>
      <c r="I59" s="14">
        <f t="shared" si="35"/>
        <v>3.9325842696629219E-2</v>
      </c>
      <c r="J59" s="50">
        <f t="shared" si="3"/>
        <v>0.31464708934456564</v>
      </c>
      <c r="K59" s="16">
        <f t="shared" si="4"/>
        <v>1323024.0154827575</v>
      </c>
      <c r="L59" s="16">
        <f t="shared" si="5"/>
        <v>73333.026615632683</v>
      </c>
      <c r="N59" s="1">
        <v>47</v>
      </c>
      <c r="O59" s="3">
        <f t="shared" si="36"/>
        <v>9258638.2293627001</v>
      </c>
      <c r="P59" s="3">
        <f t="shared" si="38"/>
        <v>3857.7659289011249</v>
      </c>
      <c r="Q59" s="3">
        <f t="shared" si="7"/>
        <v>3857.7659289011249</v>
      </c>
      <c r="R59" s="3">
        <v>0</v>
      </c>
      <c r="S59" s="3">
        <f t="shared" si="8"/>
        <v>69475.260686731563</v>
      </c>
      <c r="T59" s="3">
        <f t="shared" si="39"/>
        <v>23146.59557340675</v>
      </c>
      <c r="U59" s="3">
        <f t="shared" si="10"/>
        <v>69475.260686731563</v>
      </c>
      <c r="V59" s="3">
        <f t="shared" si="11"/>
        <v>23146.59557340675</v>
      </c>
      <c r="W59" s="3">
        <f t="shared" si="12"/>
        <v>0</v>
      </c>
      <c r="X59" s="3">
        <f t="shared" si="13"/>
        <v>46328.665113324809</v>
      </c>
      <c r="Y59" s="3">
        <f t="shared" si="14"/>
        <v>1323024.0154827575</v>
      </c>
      <c r="Z59" s="3">
        <f t="shared" si="15"/>
        <v>312074.71627617755</v>
      </c>
      <c r="AA59" s="3">
        <f t="shared" si="16"/>
        <v>1635098.7317589349</v>
      </c>
      <c r="AB59" s="3">
        <f t="shared" si="17"/>
        <v>7623539.4976037648</v>
      </c>
      <c r="AC59" s="3">
        <f t="shared" si="18"/>
        <v>762.35394976039834</v>
      </c>
      <c r="AD59" s="3">
        <f t="shared" si="19"/>
        <v>46328.665113324809</v>
      </c>
      <c r="AE59" s="3">
        <f t="shared" si="20"/>
        <v>762.35394976039834</v>
      </c>
      <c r="AF59" s="3">
        <f t="shared" si="21"/>
        <v>45566.311163564409</v>
      </c>
      <c r="AG59" s="3">
        <f t="shared" si="22"/>
        <v>0</v>
      </c>
      <c r="AH59" s="3">
        <f t="shared" si="23"/>
        <v>1000000</v>
      </c>
      <c r="AI59" s="3">
        <f t="shared" si="24"/>
        <v>0</v>
      </c>
      <c r="AJ59" s="3">
        <f t="shared" si="1"/>
        <v>762.35394976039834</v>
      </c>
      <c r="AK59" s="3">
        <f t="shared" si="2"/>
        <v>0</v>
      </c>
      <c r="AL59" s="3">
        <f t="shared" si="25"/>
        <v>7622777.1436540047</v>
      </c>
      <c r="AM59" s="3">
        <f t="shared" si="37"/>
        <v>1000000</v>
      </c>
      <c r="AN59" s="3">
        <f t="shared" si="26"/>
        <v>0</v>
      </c>
      <c r="AO59" s="3">
        <f t="shared" si="27"/>
        <v>1000000</v>
      </c>
      <c r="AP59" s="3">
        <f t="shared" si="28"/>
        <v>1000000</v>
      </c>
      <c r="AQ59" s="3">
        <f t="shared" si="29"/>
        <v>45566.311163564409</v>
      </c>
      <c r="AR59" s="3">
        <f t="shared" si="30"/>
        <v>0</v>
      </c>
      <c r="AS59" s="3">
        <f t="shared" si="31"/>
        <v>1000000</v>
      </c>
      <c r="AT59" s="3">
        <f t="shared" si="32"/>
        <v>45566.311163564409</v>
      </c>
    </row>
    <row r="60" spans="1:46" ht="14.5" x14ac:dyDescent="0.35">
      <c r="A60" s="1">
        <v>48</v>
      </c>
      <c r="B60" s="3">
        <v>3747998.0216689203</v>
      </c>
      <c r="C60" s="3">
        <v>191605.28070568832</v>
      </c>
      <c r="E60" s="15">
        <v>8.3300000000000041E-2</v>
      </c>
      <c r="F60" s="14">
        <f t="shared" si="33"/>
        <v>1.0000000000000286E-4</v>
      </c>
      <c r="G60" s="14">
        <f t="shared" si="34"/>
        <v>1.0000000000000286E-4</v>
      </c>
      <c r="I60" s="14">
        <f t="shared" si="35"/>
        <v>4.0935672514619888E-2</v>
      </c>
      <c r="J60" s="50">
        <f t="shared" si="3"/>
        <v>0.30173662245756444</v>
      </c>
      <c r="K60" s="16">
        <f t="shared" si="4"/>
        <v>1179296.6683873159</v>
      </c>
      <c r="L60" s="16">
        <f t="shared" si="5"/>
        <v>60288.043877093289</v>
      </c>
      <c r="N60" s="1">
        <v>48</v>
      </c>
      <c r="O60" s="3">
        <f t="shared" si="36"/>
        <v>7622777.1436540047</v>
      </c>
      <c r="P60" s="3">
        <f t="shared" si="38"/>
        <v>3176.1571431891684</v>
      </c>
      <c r="Q60" s="3">
        <f t="shared" si="7"/>
        <v>3176.1571431891684</v>
      </c>
      <c r="R60" s="3">
        <v>0</v>
      </c>
      <c r="S60" s="3">
        <f t="shared" si="8"/>
        <v>57111.886733904117</v>
      </c>
      <c r="T60" s="3">
        <f t="shared" si="39"/>
        <v>19056.942859135012</v>
      </c>
      <c r="U60" s="3">
        <f t="shared" si="10"/>
        <v>57111.886733904117</v>
      </c>
      <c r="V60" s="3">
        <f t="shared" si="11"/>
        <v>19056.942859135012</v>
      </c>
      <c r="W60" s="3">
        <f t="shared" si="12"/>
        <v>0</v>
      </c>
      <c r="X60" s="3">
        <f t="shared" si="13"/>
        <v>38054.943874769102</v>
      </c>
      <c r="Y60" s="3">
        <f t="shared" si="14"/>
        <v>1179296.6683873159</v>
      </c>
      <c r="Z60" s="3">
        <f t="shared" si="15"/>
        <v>263768.20658986445</v>
      </c>
      <c r="AA60" s="3">
        <f t="shared" si="16"/>
        <v>1443064.8749771803</v>
      </c>
      <c r="AB60" s="3">
        <f t="shared" si="17"/>
        <v>6179712.2686768249</v>
      </c>
      <c r="AC60" s="3">
        <f t="shared" si="18"/>
        <v>617.97122686770024</v>
      </c>
      <c r="AD60" s="3">
        <f t="shared" si="19"/>
        <v>38054.943874769102</v>
      </c>
      <c r="AE60" s="3">
        <f t="shared" si="20"/>
        <v>617.97122686770024</v>
      </c>
      <c r="AF60" s="3">
        <f t="shared" si="21"/>
        <v>37436.972647901399</v>
      </c>
      <c r="AG60" s="3">
        <f t="shared" si="22"/>
        <v>0</v>
      </c>
      <c r="AH60" s="3">
        <f t="shared" si="23"/>
        <v>1000000</v>
      </c>
      <c r="AI60" s="3">
        <f t="shared" si="24"/>
        <v>0</v>
      </c>
      <c r="AJ60" s="3">
        <f t="shared" si="1"/>
        <v>617.97122686770024</v>
      </c>
      <c r="AK60" s="3">
        <f t="shared" si="2"/>
        <v>0</v>
      </c>
      <c r="AL60" s="3">
        <f t="shared" si="25"/>
        <v>6179094.2974499576</v>
      </c>
      <c r="AM60" s="3">
        <f t="shared" si="37"/>
        <v>1000000</v>
      </c>
      <c r="AN60" s="3">
        <f t="shared" si="26"/>
        <v>0</v>
      </c>
      <c r="AO60" s="3">
        <f t="shared" si="27"/>
        <v>1000000</v>
      </c>
      <c r="AP60" s="3">
        <f t="shared" si="28"/>
        <v>1000000</v>
      </c>
      <c r="AQ60" s="3">
        <f t="shared" si="29"/>
        <v>37436.972647901399</v>
      </c>
      <c r="AR60" s="3">
        <f t="shared" si="30"/>
        <v>0</v>
      </c>
      <c r="AS60" s="3">
        <f t="shared" si="31"/>
        <v>1000000</v>
      </c>
      <c r="AT60" s="3">
        <f t="shared" si="32"/>
        <v>37436.972647901399</v>
      </c>
    </row>
    <row r="61" spans="1:46" ht="14.5" x14ac:dyDescent="0.35">
      <c r="A61" s="1">
        <v>49</v>
      </c>
      <c r="B61" s="3">
        <v>3394370.7244836921</v>
      </c>
      <c r="C61" s="3">
        <v>161731.31639682202</v>
      </c>
      <c r="E61" s="15">
        <v>8.3400000000000044E-2</v>
      </c>
      <c r="F61" s="14">
        <f t="shared" si="33"/>
        <v>1.0000000000000286E-4</v>
      </c>
      <c r="G61" s="14">
        <f t="shared" si="34"/>
        <v>1.0000000000000286E-4</v>
      </c>
      <c r="I61" s="14">
        <f t="shared" si="35"/>
        <v>4.2682926829268296E-2</v>
      </c>
      <c r="J61" s="50">
        <f t="shared" si="3"/>
        <v>0.28882873451746971</v>
      </c>
      <c r="K61" s="16">
        <f t="shared" si="4"/>
        <v>1024205.9577745453</v>
      </c>
      <c r="L61" s="16">
        <f t="shared" si="5"/>
        <v>48800.261155192784</v>
      </c>
      <c r="N61" s="1">
        <v>49</v>
      </c>
      <c r="O61" s="3">
        <f t="shared" si="36"/>
        <v>6179094.2974499576</v>
      </c>
      <c r="P61" s="3">
        <f t="shared" si="38"/>
        <v>2574.6226239374823</v>
      </c>
      <c r="Q61" s="3">
        <f t="shared" si="7"/>
        <v>2574.6226239374823</v>
      </c>
      <c r="R61" s="3">
        <v>0</v>
      </c>
      <c r="S61" s="3">
        <f t="shared" si="8"/>
        <v>46225.638531255303</v>
      </c>
      <c r="T61" s="3">
        <f t="shared" si="39"/>
        <v>15447.735743624895</v>
      </c>
      <c r="U61" s="3">
        <f t="shared" si="10"/>
        <v>46225.638531255303</v>
      </c>
      <c r="V61" s="3">
        <f t="shared" si="11"/>
        <v>15447.735743624895</v>
      </c>
      <c r="W61" s="3">
        <f t="shared" si="12"/>
        <v>0</v>
      </c>
      <c r="X61" s="3">
        <f t="shared" si="13"/>
        <v>30777.90278763041</v>
      </c>
      <c r="Y61" s="3">
        <f t="shared" si="14"/>
        <v>1024205.9577745453</v>
      </c>
      <c r="Z61" s="3">
        <f t="shared" si="15"/>
        <v>220025.72181541397</v>
      </c>
      <c r="AA61" s="3">
        <f t="shared" si="16"/>
        <v>1244231.6795899593</v>
      </c>
      <c r="AB61" s="3">
        <f t="shared" si="17"/>
        <v>4934862.6178599987</v>
      </c>
      <c r="AC61" s="3">
        <f t="shared" si="18"/>
        <v>493.48626178601398</v>
      </c>
      <c r="AD61" s="3">
        <f t="shared" si="19"/>
        <v>30777.90278763041</v>
      </c>
      <c r="AE61" s="3">
        <f t="shared" si="20"/>
        <v>493.48626178601398</v>
      </c>
      <c r="AF61" s="3">
        <f t="shared" si="21"/>
        <v>30284.416525844397</v>
      </c>
      <c r="AG61" s="3">
        <f t="shared" si="22"/>
        <v>0</v>
      </c>
      <c r="AH61" s="3">
        <f t="shared" si="23"/>
        <v>1000000</v>
      </c>
      <c r="AI61" s="3">
        <f t="shared" si="24"/>
        <v>0</v>
      </c>
      <c r="AJ61" s="3">
        <f t="shared" si="1"/>
        <v>493.48626178601398</v>
      </c>
      <c r="AK61" s="3">
        <f t="shared" si="2"/>
        <v>0</v>
      </c>
      <c r="AL61" s="3">
        <f t="shared" si="25"/>
        <v>4934369.1315982128</v>
      </c>
      <c r="AM61" s="3">
        <f t="shared" si="37"/>
        <v>1000000</v>
      </c>
      <c r="AN61" s="3">
        <f t="shared" si="26"/>
        <v>0</v>
      </c>
      <c r="AO61" s="3">
        <f t="shared" si="27"/>
        <v>1000000</v>
      </c>
      <c r="AP61" s="3">
        <f t="shared" si="28"/>
        <v>1000000</v>
      </c>
      <c r="AQ61" s="3">
        <f t="shared" si="29"/>
        <v>30284.416525844397</v>
      </c>
      <c r="AR61" s="3">
        <f t="shared" si="30"/>
        <v>0</v>
      </c>
      <c r="AS61" s="3">
        <f t="shared" si="31"/>
        <v>1000000</v>
      </c>
      <c r="AT61" s="3">
        <f t="shared" si="32"/>
        <v>30284.416525844397</v>
      </c>
    </row>
    <row r="62" spans="1:46" ht="14.5" x14ac:dyDescent="0.35">
      <c r="A62" s="1">
        <v>50</v>
      </c>
      <c r="B62" s="3">
        <v>3033016.9301119586</v>
      </c>
      <c r="C62" s="3">
        <v>134773.85450022138</v>
      </c>
      <c r="E62" s="15">
        <v>8.3500000000000046E-2</v>
      </c>
      <c r="F62" s="14">
        <f t="shared" si="33"/>
        <v>1.0000000000000286E-4</v>
      </c>
      <c r="G62" s="14">
        <f t="shared" si="34"/>
        <v>1.0000000000000286E-4</v>
      </c>
      <c r="I62" s="14">
        <f t="shared" si="35"/>
        <v>4.4585987261146508E-2</v>
      </c>
      <c r="J62" s="50">
        <f t="shared" si="3"/>
        <v>0.27592342513759682</v>
      </c>
      <c r="K62" s="16">
        <f t="shared" si="4"/>
        <v>876022.44169429783</v>
      </c>
      <c r="L62" s="16">
        <f t="shared" si="5"/>
        <v>38926.561841340532</v>
      </c>
      <c r="N62" s="1">
        <v>50</v>
      </c>
      <c r="O62" s="3">
        <f t="shared" si="36"/>
        <v>4934369.1315982128</v>
      </c>
      <c r="P62" s="3">
        <f t="shared" si="38"/>
        <v>2055.9871381659218</v>
      </c>
      <c r="Q62" s="3">
        <f t="shared" si="7"/>
        <v>2055.9871381659218</v>
      </c>
      <c r="R62" s="3">
        <v>0</v>
      </c>
      <c r="S62" s="3">
        <f t="shared" si="8"/>
        <v>36870.574703174607</v>
      </c>
      <c r="T62" s="3">
        <f t="shared" si="39"/>
        <v>12335.922828995532</v>
      </c>
      <c r="U62" s="3">
        <f t="shared" si="10"/>
        <v>36870.574703174607</v>
      </c>
      <c r="V62" s="3">
        <f t="shared" si="11"/>
        <v>12335.922828995532</v>
      </c>
      <c r="W62" s="3">
        <f t="shared" si="12"/>
        <v>0</v>
      </c>
      <c r="X62" s="3">
        <f t="shared" si="13"/>
        <v>24534.651874179075</v>
      </c>
      <c r="Y62" s="3">
        <f t="shared" si="14"/>
        <v>876022.44169429783</v>
      </c>
      <c r="Z62" s="3">
        <f t="shared" si="15"/>
        <v>180945.39381737204</v>
      </c>
      <c r="AA62" s="3">
        <f t="shared" si="16"/>
        <v>1056967.83551167</v>
      </c>
      <c r="AB62" s="3">
        <f t="shared" si="17"/>
        <v>3877401.2960865428</v>
      </c>
      <c r="AC62" s="3">
        <f t="shared" si="18"/>
        <v>387.74012960866537</v>
      </c>
      <c r="AD62" s="3">
        <f t="shared" si="19"/>
        <v>24534.651874179075</v>
      </c>
      <c r="AE62" s="3">
        <f t="shared" si="20"/>
        <v>387.74012960866537</v>
      </c>
      <c r="AF62" s="3">
        <f t="shared" si="21"/>
        <v>24146.911744570411</v>
      </c>
      <c r="AG62" s="3">
        <f t="shared" si="22"/>
        <v>0</v>
      </c>
      <c r="AH62" s="3">
        <f t="shared" si="23"/>
        <v>1000000</v>
      </c>
      <c r="AI62" s="3">
        <f t="shared" si="24"/>
        <v>0</v>
      </c>
      <c r="AJ62" s="3">
        <f t="shared" si="1"/>
        <v>387.74012960866537</v>
      </c>
      <c r="AK62" s="3">
        <f t="shared" si="2"/>
        <v>0</v>
      </c>
      <c r="AL62" s="3">
        <f t="shared" si="25"/>
        <v>3877013.5559569341</v>
      </c>
      <c r="AM62" s="3">
        <f t="shared" si="37"/>
        <v>1000000</v>
      </c>
      <c r="AN62" s="3">
        <f t="shared" si="26"/>
        <v>0</v>
      </c>
      <c r="AO62" s="3">
        <f t="shared" si="27"/>
        <v>1000000</v>
      </c>
      <c r="AP62" s="3">
        <f t="shared" si="28"/>
        <v>1000000</v>
      </c>
      <c r="AQ62" s="3">
        <f t="shared" si="29"/>
        <v>24146.911744570411</v>
      </c>
      <c r="AR62" s="3">
        <f t="shared" si="30"/>
        <v>0</v>
      </c>
      <c r="AS62" s="3">
        <f t="shared" si="31"/>
        <v>1000000</v>
      </c>
      <c r="AT62" s="3">
        <f t="shared" si="32"/>
        <v>24146.911744570411</v>
      </c>
    </row>
    <row r="63" spans="1:46" ht="14.5" x14ac:dyDescent="0.35">
      <c r="A63" s="1">
        <v>51</v>
      </c>
      <c r="B63" s="3">
        <v>2694658.9604865196</v>
      </c>
      <c r="C63" s="3">
        <v>110796.56925430387</v>
      </c>
      <c r="E63" s="15">
        <v>8.3600000000000049E-2</v>
      </c>
      <c r="F63" s="14">
        <f t="shared" si="33"/>
        <v>1.0000000000000286E-4</v>
      </c>
      <c r="G63" s="14">
        <f t="shared" si="34"/>
        <v>1.0000000000000286E-4</v>
      </c>
      <c r="I63" s="14">
        <f t="shared" si="35"/>
        <v>4.6666666666666676E-2</v>
      </c>
      <c r="J63" s="50">
        <f t="shared" si="3"/>
        <v>0.26302069393131255</v>
      </c>
      <c r="K63" s="16">
        <f t="shared" si="4"/>
        <v>743519.52995515661</v>
      </c>
      <c r="L63" s="16">
        <f t="shared" si="5"/>
        <v>30571.368882142477</v>
      </c>
      <c r="N63" s="1">
        <v>51</v>
      </c>
      <c r="O63" s="3">
        <f t="shared" si="36"/>
        <v>3877013.5559569341</v>
      </c>
      <c r="P63" s="3">
        <f t="shared" si="38"/>
        <v>1615.4223149820557</v>
      </c>
      <c r="Q63" s="3">
        <f t="shared" si="7"/>
        <v>1615.4223149820557</v>
      </c>
      <c r="R63" s="3">
        <v>0</v>
      </c>
      <c r="S63" s="3">
        <f t="shared" si="8"/>
        <v>28955.946567160419</v>
      </c>
      <c r="T63" s="3">
        <f t="shared" si="39"/>
        <v>9692.5338898923346</v>
      </c>
      <c r="U63" s="3">
        <f t="shared" si="10"/>
        <v>28955.946567160419</v>
      </c>
      <c r="V63" s="3">
        <f t="shared" si="11"/>
        <v>9692.5338898923346</v>
      </c>
      <c r="W63" s="3">
        <f t="shared" si="12"/>
        <v>0</v>
      </c>
      <c r="X63" s="3">
        <f t="shared" si="13"/>
        <v>19263.412677268083</v>
      </c>
      <c r="Y63" s="3">
        <f t="shared" si="14"/>
        <v>743519.52995515661</v>
      </c>
      <c r="Z63" s="3">
        <f t="shared" si="15"/>
        <v>146229.72121341631</v>
      </c>
      <c r="AA63" s="3">
        <f t="shared" si="16"/>
        <v>889749.25116857293</v>
      </c>
      <c r="AB63" s="3">
        <f t="shared" si="17"/>
        <v>2987264.3047883613</v>
      </c>
      <c r="AC63" s="3">
        <f t="shared" si="18"/>
        <v>298.72643047884469</v>
      </c>
      <c r="AD63" s="3">
        <f t="shared" si="19"/>
        <v>19263.412677268083</v>
      </c>
      <c r="AE63" s="3">
        <f t="shared" si="20"/>
        <v>298.72643047884469</v>
      </c>
      <c r="AF63" s="3">
        <f t="shared" si="21"/>
        <v>18964.686246789239</v>
      </c>
      <c r="AG63" s="3">
        <f t="shared" si="22"/>
        <v>0</v>
      </c>
      <c r="AH63" s="3">
        <f t="shared" si="23"/>
        <v>1000000</v>
      </c>
      <c r="AI63" s="3">
        <f t="shared" si="24"/>
        <v>0</v>
      </c>
      <c r="AJ63" s="3">
        <f t="shared" si="1"/>
        <v>298.72643047884469</v>
      </c>
      <c r="AK63" s="3">
        <f t="shared" si="2"/>
        <v>0</v>
      </c>
      <c r="AL63" s="3">
        <f t="shared" si="25"/>
        <v>2986965.5783578823</v>
      </c>
      <c r="AM63" s="3">
        <f t="shared" si="37"/>
        <v>1000000</v>
      </c>
      <c r="AN63" s="3">
        <f t="shared" si="26"/>
        <v>0</v>
      </c>
      <c r="AO63" s="3">
        <f t="shared" si="27"/>
        <v>1000000</v>
      </c>
      <c r="AP63" s="3">
        <f t="shared" si="28"/>
        <v>1000000</v>
      </c>
      <c r="AQ63" s="3">
        <f t="shared" si="29"/>
        <v>18964.686246789239</v>
      </c>
      <c r="AR63" s="3">
        <f t="shared" si="30"/>
        <v>0</v>
      </c>
      <c r="AS63" s="3">
        <f t="shared" si="31"/>
        <v>1000000</v>
      </c>
      <c r="AT63" s="3">
        <f t="shared" si="32"/>
        <v>18964.686246789239</v>
      </c>
    </row>
    <row r="64" spans="1:46" ht="14.5" x14ac:dyDescent="0.35">
      <c r="A64" s="1">
        <v>52</v>
      </c>
      <c r="B64" s="3">
        <v>2353387.3263886929</v>
      </c>
      <c r="C64" s="3">
        <v>89555.456246483169</v>
      </c>
      <c r="E64" s="15">
        <v>8.3700000000000052E-2</v>
      </c>
      <c r="F64" s="14">
        <f t="shared" si="33"/>
        <v>1.0000000000000286E-4</v>
      </c>
      <c r="G64" s="14">
        <f t="shared" si="34"/>
        <v>1.0000000000000286E-4</v>
      </c>
      <c r="I64" s="14">
        <f t="shared" si="35"/>
        <v>4.8951048951048945E-2</v>
      </c>
      <c r="J64" s="50">
        <f t="shared" si="3"/>
        <v>0.25012054051203525</v>
      </c>
      <c r="K64" s="16">
        <f t="shared" si="4"/>
        <v>618989.56767591042</v>
      </c>
      <c r="L64" s="16">
        <f t="shared" si="5"/>
        <v>23554.938247285303</v>
      </c>
      <c r="N64" s="1">
        <v>52</v>
      </c>
      <c r="O64" s="3">
        <f t="shared" si="36"/>
        <v>2986965.5783578823</v>
      </c>
      <c r="P64" s="3">
        <f t="shared" si="38"/>
        <v>1244.5689909824509</v>
      </c>
      <c r="Q64" s="3">
        <f t="shared" si="7"/>
        <v>1244.5689909824509</v>
      </c>
      <c r="R64" s="3">
        <v>0</v>
      </c>
      <c r="S64" s="3">
        <f t="shared" si="8"/>
        <v>22310.369256302853</v>
      </c>
      <c r="T64" s="3">
        <f t="shared" si="39"/>
        <v>7467.4139458947056</v>
      </c>
      <c r="U64" s="3">
        <f t="shared" si="10"/>
        <v>22310.369256302853</v>
      </c>
      <c r="V64" s="3">
        <f t="shared" si="11"/>
        <v>7467.4139458947056</v>
      </c>
      <c r="W64" s="3">
        <f t="shared" si="12"/>
        <v>0</v>
      </c>
      <c r="X64" s="3">
        <f t="shared" si="13"/>
        <v>14842.955310408146</v>
      </c>
      <c r="Y64" s="3">
        <f t="shared" si="14"/>
        <v>618989.56767591042</v>
      </c>
      <c r="Z64" s="3">
        <f t="shared" si="15"/>
        <v>115914.90961380281</v>
      </c>
      <c r="AA64" s="3">
        <f t="shared" si="16"/>
        <v>734904.47728971322</v>
      </c>
      <c r="AB64" s="3">
        <f t="shared" si="17"/>
        <v>2252061.1010681689</v>
      </c>
      <c r="AC64" s="3">
        <f t="shared" si="18"/>
        <v>225.20611010682333</v>
      </c>
      <c r="AD64" s="3">
        <f t="shared" si="19"/>
        <v>14842.955310408146</v>
      </c>
      <c r="AE64" s="3">
        <f t="shared" si="20"/>
        <v>225.20611010682333</v>
      </c>
      <c r="AF64" s="3">
        <f t="shared" si="21"/>
        <v>14617.749200301323</v>
      </c>
      <c r="AG64" s="3">
        <f t="shared" si="22"/>
        <v>0</v>
      </c>
      <c r="AH64" s="3">
        <f t="shared" si="23"/>
        <v>1000000</v>
      </c>
      <c r="AI64" s="3">
        <f t="shared" si="24"/>
        <v>0</v>
      </c>
      <c r="AJ64" s="3">
        <f t="shared" si="1"/>
        <v>225.20611010682333</v>
      </c>
      <c r="AK64" s="3">
        <f t="shared" si="2"/>
        <v>0</v>
      </c>
      <c r="AL64" s="3">
        <f t="shared" si="25"/>
        <v>2251835.8949580621</v>
      </c>
      <c r="AM64" s="3">
        <f t="shared" si="37"/>
        <v>1000000</v>
      </c>
      <c r="AN64" s="3">
        <f t="shared" si="26"/>
        <v>0</v>
      </c>
      <c r="AO64" s="3">
        <f t="shared" si="27"/>
        <v>1000000</v>
      </c>
      <c r="AP64" s="3">
        <f t="shared" si="28"/>
        <v>1000000</v>
      </c>
      <c r="AQ64" s="3">
        <f t="shared" si="29"/>
        <v>14617.749200301323</v>
      </c>
      <c r="AR64" s="3">
        <f t="shared" si="30"/>
        <v>0</v>
      </c>
      <c r="AS64" s="3">
        <f t="shared" si="31"/>
        <v>1000000</v>
      </c>
      <c r="AT64" s="3">
        <f t="shared" si="32"/>
        <v>14617.749200301323</v>
      </c>
    </row>
    <row r="65" spans="1:46" ht="14.5" x14ac:dyDescent="0.35">
      <c r="A65" s="1">
        <v>53</v>
      </c>
      <c r="B65" s="3">
        <v>2019514.4715199247</v>
      </c>
      <c r="C65" s="3">
        <v>71035.994668861473</v>
      </c>
      <c r="E65" s="15">
        <v>8.3800000000000055E-2</v>
      </c>
      <c r="F65" s="14">
        <f t="shared" si="33"/>
        <v>1.0000000000000286E-4</v>
      </c>
      <c r="G65" s="14">
        <f t="shared" si="34"/>
        <v>1.0000000000000286E-4</v>
      </c>
      <c r="I65" s="14">
        <f t="shared" si="35"/>
        <v>5.1470588235294115E-2</v>
      </c>
      <c r="J65" s="50">
        <f t="shared" si="3"/>
        <v>0.23722296449323488</v>
      </c>
      <c r="K65" s="16">
        <f t="shared" si="4"/>
        <v>505122.05118844076</v>
      </c>
      <c r="L65" s="16">
        <f t="shared" si="5"/>
        <v>17767.561382385687</v>
      </c>
      <c r="N65" s="1">
        <v>53</v>
      </c>
      <c r="O65" s="3">
        <f t="shared" si="36"/>
        <v>2251835.8949580621</v>
      </c>
      <c r="P65" s="3">
        <f t="shared" si="38"/>
        <v>938.26495623252595</v>
      </c>
      <c r="Q65" s="3">
        <f t="shared" si="7"/>
        <v>938.26495623252595</v>
      </c>
      <c r="R65" s="3">
        <v>0</v>
      </c>
      <c r="S65" s="3">
        <f t="shared" si="8"/>
        <v>16829.29642615316</v>
      </c>
      <c r="T65" s="3">
        <f t="shared" si="39"/>
        <v>5629.5897373951557</v>
      </c>
      <c r="U65" s="3">
        <f t="shared" si="10"/>
        <v>16829.29642615316</v>
      </c>
      <c r="V65" s="3">
        <f t="shared" si="11"/>
        <v>5629.5897373951557</v>
      </c>
      <c r="W65" s="3">
        <f t="shared" si="12"/>
        <v>0</v>
      </c>
      <c r="X65" s="3">
        <f t="shared" si="13"/>
        <v>11199.706688758004</v>
      </c>
      <c r="Y65" s="3">
        <f t="shared" si="14"/>
        <v>505122.05118844076</v>
      </c>
      <c r="Z65" s="3">
        <f t="shared" si="15"/>
        <v>89904.389017554029</v>
      </c>
      <c r="AA65" s="3">
        <f t="shared" si="16"/>
        <v>595026.44020599476</v>
      </c>
      <c r="AB65" s="3">
        <f t="shared" si="17"/>
        <v>1656809.4547520673</v>
      </c>
      <c r="AC65" s="3">
        <f t="shared" si="18"/>
        <v>165.68094547521147</v>
      </c>
      <c r="AD65" s="3">
        <f t="shared" si="19"/>
        <v>11199.706688758004</v>
      </c>
      <c r="AE65" s="3">
        <f t="shared" si="20"/>
        <v>165.68094547521147</v>
      </c>
      <c r="AF65" s="3">
        <f t="shared" si="21"/>
        <v>11034.025743282793</v>
      </c>
      <c r="AG65" s="3">
        <f t="shared" si="22"/>
        <v>0</v>
      </c>
      <c r="AH65" s="3">
        <f t="shared" si="23"/>
        <v>1000000</v>
      </c>
      <c r="AI65" s="3">
        <f t="shared" si="24"/>
        <v>0</v>
      </c>
      <c r="AJ65" s="3">
        <f t="shared" si="1"/>
        <v>165.68094547521147</v>
      </c>
      <c r="AK65" s="3">
        <f t="shared" si="2"/>
        <v>0</v>
      </c>
      <c r="AL65" s="3">
        <f t="shared" si="25"/>
        <v>1656643.7738065922</v>
      </c>
      <c r="AM65" s="3">
        <f t="shared" si="37"/>
        <v>1000000</v>
      </c>
      <c r="AN65" s="3">
        <f t="shared" si="26"/>
        <v>0</v>
      </c>
      <c r="AO65" s="3">
        <f t="shared" si="27"/>
        <v>1000000</v>
      </c>
      <c r="AP65" s="3">
        <f t="shared" si="28"/>
        <v>1000000</v>
      </c>
      <c r="AQ65" s="3">
        <f t="shared" si="29"/>
        <v>11034.025743282793</v>
      </c>
      <c r="AR65" s="3">
        <f t="shared" si="30"/>
        <v>0</v>
      </c>
      <c r="AS65" s="3">
        <f t="shared" si="31"/>
        <v>1000000</v>
      </c>
      <c r="AT65" s="3">
        <f t="shared" si="32"/>
        <v>11034.025743282793</v>
      </c>
    </row>
    <row r="66" spans="1:46" ht="14.5" x14ac:dyDescent="0.35">
      <c r="A66" s="1">
        <v>54</v>
      </c>
      <c r="B66" s="3">
        <v>1686870.1617079207</v>
      </c>
      <c r="C66" s="3">
        <v>55176.063010557329</v>
      </c>
      <c r="E66" s="15">
        <v>8.3900000000000058E-2</v>
      </c>
      <c r="F66" s="14">
        <f t="shared" si="33"/>
        <v>1.0000000000000286E-4</v>
      </c>
      <c r="G66" s="14">
        <f t="shared" si="34"/>
        <v>1.0000000000000286E-4</v>
      </c>
      <c r="I66" s="14">
        <f t="shared" si="35"/>
        <v>5.4263565891472867E-2</v>
      </c>
      <c r="J66" s="50">
        <f t="shared" si="3"/>
        <v>0.22432796548843287</v>
      </c>
      <c r="K66" s="16">
        <f t="shared" si="4"/>
        <v>400164.34047553543</v>
      </c>
      <c r="L66" s="16">
        <f t="shared" si="5"/>
        <v>13089.029236429931</v>
      </c>
      <c r="N66" s="1">
        <v>54</v>
      </c>
      <c r="O66" s="3">
        <f t="shared" si="36"/>
        <v>1656643.7738065922</v>
      </c>
      <c r="P66" s="3">
        <f t="shared" si="38"/>
        <v>690.26823908608003</v>
      </c>
      <c r="Q66" s="3">
        <f t="shared" si="7"/>
        <v>690.26823908608003</v>
      </c>
      <c r="R66" s="3">
        <v>0</v>
      </c>
      <c r="S66" s="3">
        <f t="shared" si="8"/>
        <v>12398.760997343852</v>
      </c>
      <c r="T66" s="3">
        <f t="shared" si="39"/>
        <v>4141.6094345164802</v>
      </c>
      <c r="U66" s="3">
        <f t="shared" si="10"/>
        <v>12398.760997343852</v>
      </c>
      <c r="V66" s="3">
        <f t="shared" si="11"/>
        <v>4141.6094345164802</v>
      </c>
      <c r="W66" s="3">
        <f t="shared" si="12"/>
        <v>0</v>
      </c>
      <c r="X66" s="3">
        <f t="shared" si="13"/>
        <v>8257.1515628273719</v>
      </c>
      <c r="Y66" s="3">
        <f t="shared" si="14"/>
        <v>400164.34047553543</v>
      </c>
      <c r="Z66" s="3">
        <f t="shared" si="15"/>
        <v>68181.054521840284</v>
      </c>
      <c r="AA66" s="3">
        <f t="shared" si="16"/>
        <v>468345.39499737573</v>
      </c>
      <c r="AB66" s="3">
        <f t="shared" si="17"/>
        <v>1188298.3788092164</v>
      </c>
      <c r="AC66" s="3">
        <f t="shared" si="18"/>
        <v>118.82983788092504</v>
      </c>
      <c r="AD66" s="3">
        <f t="shared" si="19"/>
        <v>8257.1515628273719</v>
      </c>
      <c r="AE66" s="3">
        <f t="shared" si="20"/>
        <v>118.82983788092504</v>
      </c>
      <c r="AF66" s="3">
        <f t="shared" si="21"/>
        <v>8138.3217249464469</v>
      </c>
      <c r="AG66" s="3">
        <f t="shared" si="22"/>
        <v>0</v>
      </c>
      <c r="AH66" s="3">
        <f t="shared" si="23"/>
        <v>1000000</v>
      </c>
      <c r="AI66" s="3">
        <f t="shared" si="24"/>
        <v>0</v>
      </c>
      <c r="AJ66" s="3">
        <f t="shared" si="1"/>
        <v>118.82983788092504</v>
      </c>
      <c r="AK66" s="3">
        <f t="shared" si="2"/>
        <v>0</v>
      </c>
      <c r="AL66" s="3">
        <f t="shared" si="25"/>
        <v>1188179.5489713354</v>
      </c>
      <c r="AM66" s="3">
        <f t="shared" si="37"/>
        <v>1000000</v>
      </c>
      <c r="AN66" s="3">
        <f t="shared" si="26"/>
        <v>0</v>
      </c>
      <c r="AO66" s="3">
        <f t="shared" si="27"/>
        <v>1000000</v>
      </c>
      <c r="AP66" s="3">
        <f t="shared" si="28"/>
        <v>1000000</v>
      </c>
      <c r="AQ66" s="3">
        <f t="shared" si="29"/>
        <v>8138.3217249464469</v>
      </c>
      <c r="AR66" s="3">
        <f t="shared" si="30"/>
        <v>0</v>
      </c>
      <c r="AS66" s="3">
        <f t="shared" si="31"/>
        <v>1000000</v>
      </c>
      <c r="AT66" s="3">
        <f t="shared" si="32"/>
        <v>8138.3217249464469</v>
      </c>
    </row>
    <row r="67" spans="1:46" ht="14.5" x14ac:dyDescent="0.35">
      <c r="A67" s="1">
        <v>55</v>
      </c>
      <c r="B67" s="3">
        <v>1335691.0525682529</v>
      </c>
      <c r="C67" s="3">
        <v>41975.021136910356</v>
      </c>
      <c r="E67" s="15">
        <v>8.4000000000000061E-2</v>
      </c>
      <c r="F67" s="14">
        <f t="shared" si="33"/>
        <v>1.0000000000000286E-4</v>
      </c>
      <c r="G67" s="14">
        <f t="shared" si="34"/>
        <v>1.0000000000000286E-4</v>
      </c>
      <c r="I67" s="14">
        <f t="shared" si="35"/>
        <v>5.737704918032787E-2</v>
      </c>
      <c r="J67" s="50">
        <f t="shared" si="3"/>
        <v>0.21143554311120216</v>
      </c>
      <c r="K67" s="16">
        <f t="shared" si="4"/>
        <v>299632.85634373961</v>
      </c>
      <c r="L67" s="16">
        <f t="shared" si="5"/>
        <v>9416.171092977067</v>
      </c>
      <c r="N67" s="1">
        <v>55</v>
      </c>
      <c r="O67" s="3">
        <f t="shared" si="36"/>
        <v>1188179.5489713354</v>
      </c>
      <c r="P67" s="3">
        <f t="shared" si="38"/>
        <v>495.07481207138977</v>
      </c>
      <c r="Q67" s="3">
        <f t="shared" si="7"/>
        <v>495.07481207138977</v>
      </c>
      <c r="R67" s="3">
        <v>0</v>
      </c>
      <c r="S67" s="3">
        <f t="shared" si="8"/>
        <v>8921.0962809056764</v>
      </c>
      <c r="T67" s="3">
        <f t="shared" si="39"/>
        <v>2970.4488724283387</v>
      </c>
      <c r="U67" s="3">
        <f t="shared" si="10"/>
        <v>8921.0962809056764</v>
      </c>
      <c r="V67" s="3">
        <f t="shared" si="11"/>
        <v>2970.4488724283387</v>
      </c>
      <c r="W67" s="3">
        <f t="shared" si="12"/>
        <v>0</v>
      </c>
      <c r="X67" s="3">
        <f t="shared" si="13"/>
        <v>5950.6474084773381</v>
      </c>
      <c r="Y67" s="3">
        <f t="shared" si="14"/>
        <v>299632.85634373961</v>
      </c>
      <c r="Z67" s="3">
        <f t="shared" si="15"/>
        <v>50982.187281911232</v>
      </c>
      <c r="AA67" s="3">
        <f t="shared" si="16"/>
        <v>350615.04362565081</v>
      </c>
      <c r="AB67" s="3">
        <f t="shared" si="17"/>
        <v>837564.50534568459</v>
      </c>
      <c r="AC67" s="3">
        <f t="shared" si="18"/>
        <v>83.75645053457086</v>
      </c>
      <c r="AD67" s="3">
        <f t="shared" si="19"/>
        <v>5950.6474084773381</v>
      </c>
      <c r="AE67" s="3">
        <f t="shared" si="20"/>
        <v>83.75645053457086</v>
      </c>
      <c r="AF67" s="3">
        <f t="shared" si="21"/>
        <v>5866.8909579427673</v>
      </c>
      <c r="AG67" s="3">
        <f t="shared" si="22"/>
        <v>0</v>
      </c>
      <c r="AH67" s="3">
        <f t="shared" si="23"/>
        <v>1000000</v>
      </c>
      <c r="AI67" s="3">
        <f t="shared" si="24"/>
        <v>0</v>
      </c>
      <c r="AJ67" s="3">
        <f t="shared" si="1"/>
        <v>83.75645053457086</v>
      </c>
      <c r="AK67" s="3">
        <f t="shared" si="2"/>
        <v>0</v>
      </c>
      <c r="AL67" s="3">
        <f t="shared" si="25"/>
        <v>837480.74889515003</v>
      </c>
      <c r="AM67" s="3">
        <f t="shared" si="37"/>
        <v>1000000</v>
      </c>
      <c r="AN67" s="3">
        <f t="shared" si="26"/>
        <v>0</v>
      </c>
      <c r="AO67" s="3">
        <f t="shared" si="27"/>
        <v>1000000</v>
      </c>
      <c r="AP67" s="3">
        <f t="shared" si="28"/>
        <v>1000000</v>
      </c>
      <c r="AQ67" s="3">
        <f t="shared" si="29"/>
        <v>5866.8909579427673</v>
      </c>
      <c r="AR67" s="3">
        <f t="shared" si="30"/>
        <v>0</v>
      </c>
      <c r="AS67" s="3">
        <f t="shared" si="31"/>
        <v>1000000</v>
      </c>
      <c r="AT67" s="3">
        <f t="shared" si="32"/>
        <v>5866.8909579427673</v>
      </c>
    </row>
    <row r="68" spans="1:46" ht="14.5" x14ac:dyDescent="0.35">
      <c r="A68" s="1">
        <v>56</v>
      </c>
      <c r="B68" s="3">
        <v>978691.3693768644</v>
      </c>
      <c r="C68" s="3">
        <v>31512.283924912379</v>
      </c>
      <c r="E68" s="15">
        <v>8.4100000000000064E-2</v>
      </c>
      <c r="F68" s="14">
        <f t="shared" si="33"/>
        <v>1.0000000000000286E-4</v>
      </c>
      <c r="G68" s="14">
        <f t="shared" si="34"/>
        <v>1.0000000000000286E-4</v>
      </c>
      <c r="I68" s="14">
        <f t="shared" si="35"/>
        <v>6.0869565217391314E-2</v>
      </c>
      <c r="J68" s="50">
        <f t="shared" si="3"/>
        <v>0.19854569697516725</v>
      </c>
      <c r="K68" s="16">
        <f t="shared" si="4"/>
        <v>206930.14122244349</v>
      </c>
      <c r="L68" s="16">
        <f t="shared" si="5"/>
        <v>6662.8168663382539</v>
      </c>
      <c r="N68" s="1">
        <v>56</v>
      </c>
      <c r="O68" s="3">
        <f t="shared" si="36"/>
        <v>837480.74889515003</v>
      </c>
      <c r="P68" s="3">
        <f t="shared" si="38"/>
        <v>348.95031203964589</v>
      </c>
      <c r="Q68" s="3">
        <f t="shared" si="7"/>
        <v>348.95031203964589</v>
      </c>
      <c r="R68" s="3">
        <v>0</v>
      </c>
      <c r="S68" s="3">
        <f t="shared" si="8"/>
        <v>6313.8665542986082</v>
      </c>
      <c r="T68" s="3">
        <f t="shared" si="39"/>
        <v>2093.7018722378752</v>
      </c>
      <c r="U68" s="3">
        <f t="shared" si="10"/>
        <v>6313.8665542986082</v>
      </c>
      <c r="V68" s="3">
        <f t="shared" si="11"/>
        <v>2093.7018722378752</v>
      </c>
      <c r="W68" s="3">
        <f t="shared" si="12"/>
        <v>0</v>
      </c>
      <c r="X68" s="3">
        <f t="shared" si="13"/>
        <v>4220.164682060733</v>
      </c>
      <c r="Y68" s="3">
        <f t="shared" si="14"/>
        <v>206930.14122244349</v>
      </c>
      <c r="Z68" s="3">
        <f t="shared" si="15"/>
        <v>38381.341336599529</v>
      </c>
      <c r="AA68" s="3">
        <f t="shared" si="16"/>
        <v>245311.48255904301</v>
      </c>
      <c r="AB68" s="3">
        <f t="shared" si="17"/>
        <v>592169.26633610704</v>
      </c>
      <c r="AC68" s="3">
        <f t="shared" si="18"/>
        <v>59.216926633612402</v>
      </c>
      <c r="AD68" s="3">
        <f t="shared" si="19"/>
        <v>4220.164682060733</v>
      </c>
      <c r="AE68" s="3">
        <f t="shared" si="20"/>
        <v>59.216926633612402</v>
      </c>
      <c r="AF68" s="3">
        <f t="shared" si="21"/>
        <v>4160.9477554271207</v>
      </c>
      <c r="AG68" s="3">
        <f t="shared" si="22"/>
        <v>0</v>
      </c>
      <c r="AH68" s="3">
        <f t="shared" si="23"/>
        <v>1000000</v>
      </c>
      <c r="AI68" s="3">
        <f t="shared" si="24"/>
        <v>0</v>
      </c>
      <c r="AJ68" s="3">
        <f t="shared" si="1"/>
        <v>59.216926633612402</v>
      </c>
      <c r="AK68" s="3">
        <f t="shared" si="2"/>
        <v>0</v>
      </c>
      <c r="AL68" s="3">
        <f t="shared" si="25"/>
        <v>592110.04940947343</v>
      </c>
      <c r="AM68" s="3">
        <f t="shared" si="37"/>
        <v>1000000</v>
      </c>
      <c r="AN68" s="3">
        <f t="shared" si="26"/>
        <v>0</v>
      </c>
      <c r="AO68" s="3">
        <f t="shared" si="27"/>
        <v>1000000</v>
      </c>
      <c r="AP68" s="3">
        <f t="shared" si="28"/>
        <v>1000000</v>
      </c>
      <c r="AQ68" s="3">
        <f t="shared" si="29"/>
        <v>4160.9477554271207</v>
      </c>
      <c r="AR68" s="3">
        <f t="shared" si="30"/>
        <v>0</v>
      </c>
      <c r="AS68" s="3">
        <f t="shared" si="31"/>
        <v>1000000</v>
      </c>
      <c r="AT68" s="3">
        <f t="shared" si="32"/>
        <v>4160.9477554271207</v>
      </c>
    </row>
    <row r="69" spans="1:46" ht="14.5" x14ac:dyDescent="0.35">
      <c r="A69" s="1">
        <v>57</v>
      </c>
      <c r="B69" s="3">
        <v>687600.4717601788</v>
      </c>
      <c r="C69" s="3">
        <v>23794.813319818048</v>
      </c>
      <c r="E69" s="15">
        <v>8.4200000000000066E-2</v>
      </c>
      <c r="F69" s="14">
        <f t="shared" si="33"/>
        <v>1.0000000000000286E-4</v>
      </c>
      <c r="G69" s="14">
        <f t="shared" si="34"/>
        <v>1.0000000000000286E-4</v>
      </c>
      <c r="I69" s="14">
        <f t="shared" si="35"/>
        <v>6.4814814814814825E-2</v>
      </c>
      <c r="J69" s="50">
        <f t="shared" si="3"/>
        <v>0.18565842669400409</v>
      </c>
      <c r="K69" s="16">
        <f t="shared" si="4"/>
        <v>136520.1149060785</v>
      </c>
      <c r="L69" s="16">
        <f t="shared" si="5"/>
        <v>4724.3577949772671</v>
      </c>
      <c r="N69" s="1">
        <v>57</v>
      </c>
      <c r="O69" s="3">
        <f t="shared" si="36"/>
        <v>592110.04940947343</v>
      </c>
      <c r="P69" s="3">
        <f t="shared" si="38"/>
        <v>246.71252058728058</v>
      </c>
      <c r="Q69" s="3">
        <f t="shared" si="7"/>
        <v>246.71252058728058</v>
      </c>
      <c r="R69" s="3">
        <v>0</v>
      </c>
      <c r="S69" s="3">
        <f t="shared" si="8"/>
        <v>4477.6452743899863</v>
      </c>
      <c r="T69" s="3">
        <f t="shared" si="39"/>
        <v>1480.2751235236835</v>
      </c>
      <c r="U69" s="3">
        <f t="shared" si="10"/>
        <v>4477.6452743899863</v>
      </c>
      <c r="V69" s="3">
        <f t="shared" si="11"/>
        <v>1480.2751235236835</v>
      </c>
      <c r="W69" s="3">
        <f t="shared" si="12"/>
        <v>0</v>
      </c>
      <c r="X69" s="3">
        <f t="shared" si="13"/>
        <v>2997.3701508663025</v>
      </c>
      <c r="Y69" s="3">
        <f t="shared" si="14"/>
        <v>136520.1149060785</v>
      </c>
      <c r="Z69" s="3">
        <f t="shared" si="15"/>
        <v>29528.977236331157</v>
      </c>
      <c r="AA69" s="3">
        <f t="shared" si="16"/>
        <v>166049.09214240965</v>
      </c>
      <c r="AB69" s="3">
        <f t="shared" si="17"/>
        <v>426060.95726706379</v>
      </c>
      <c r="AC69" s="3">
        <f t="shared" si="18"/>
        <v>42.606095726707601</v>
      </c>
      <c r="AD69" s="3">
        <f t="shared" si="19"/>
        <v>2997.3701508663025</v>
      </c>
      <c r="AE69" s="3">
        <f t="shared" si="20"/>
        <v>42.606095726707601</v>
      </c>
      <c r="AF69" s="3">
        <f t="shared" si="21"/>
        <v>2954.7640551395948</v>
      </c>
      <c r="AG69" s="3">
        <f t="shared" si="22"/>
        <v>0</v>
      </c>
      <c r="AH69" s="3">
        <f t="shared" si="23"/>
        <v>1000000</v>
      </c>
      <c r="AI69" s="3">
        <f t="shared" si="24"/>
        <v>0</v>
      </c>
      <c r="AJ69" s="3">
        <f t="shared" si="1"/>
        <v>42.606095726707601</v>
      </c>
      <c r="AK69" s="3">
        <f t="shared" si="2"/>
        <v>0</v>
      </c>
      <c r="AL69" s="3">
        <f t="shared" si="25"/>
        <v>426018.35117133707</v>
      </c>
      <c r="AM69" s="3">
        <f t="shared" si="37"/>
        <v>1000000</v>
      </c>
      <c r="AN69" s="3">
        <f t="shared" si="26"/>
        <v>0</v>
      </c>
      <c r="AO69" s="3">
        <f t="shared" si="27"/>
        <v>1000000</v>
      </c>
      <c r="AP69" s="3">
        <f t="shared" si="28"/>
        <v>1000000</v>
      </c>
      <c r="AQ69" s="3">
        <f t="shared" si="29"/>
        <v>2954.7640551395948</v>
      </c>
      <c r="AR69" s="3">
        <f t="shared" si="30"/>
        <v>0</v>
      </c>
      <c r="AS69" s="3">
        <f t="shared" si="31"/>
        <v>1000000</v>
      </c>
      <c r="AT69" s="3">
        <f t="shared" si="32"/>
        <v>2954.7640551395948</v>
      </c>
    </row>
    <row r="70" spans="1:46" ht="14.5" x14ac:dyDescent="0.35">
      <c r="A70" s="1">
        <v>58</v>
      </c>
      <c r="B70" s="3">
        <v>468027.64385891159</v>
      </c>
      <c r="C70" s="3">
        <v>18341.636805033049</v>
      </c>
      <c r="E70" s="15">
        <v>8.4300000000000069E-2</v>
      </c>
      <c r="F70" s="14">
        <f t="shared" si="33"/>
        <v>1.0000000000000286E-4</v>
      </c>
      <c r="G70" s="14">
        <f t="shared" si="34"/>
        <v>1.0000000000000286E-4</v>
      </c>
      <c r="I70" s="14">
        <f t="shared" si="35"/>
        <v>6.9306930693069327E-2</v>
      </c>
      <c r="J70" s="50">
        <f t="shared" si="3"/>
        <v>0.17277373188144021</v>
      </c>
      <c r="K70" s="16">
        <f t="shared" si="4"/>
        <v>86893.276008147193</v>
      </c>
      <c r="L70" s="16">
        <f t="shared" si="5"/>
        <v>3405.2794322152758</v>
      </c>
      <c r="N70" s="1">
        <v>58</v>
      </c>
      <c r="O70" s="3">
        <f t="shared" si="36"/>
        <v>426018.35117133707</v>
      </c>
      <c r="P70" s="3">
        <f t="shared" si="38"/>
        <v>177.50764632139044</v>
      </c>
      <c r="Q70" s="3">
        <f t="shared" si="7"/>
        <v>177.50764632139044</v>
      </c>
      <c r="R70" s="3">
        <v>0</v>
      </c>
      <c r="S70" s="3">
        <f t="shared" si="8"/>
        <v>3227.7717858938854</v>
      </c>
      <c r="T70" s="3">
        <f t="shared" si="39"/>
        <v>1065.0458779283426</v>
      </c>
      <c r="U70" s="3">
        <f t="shared" si="10"/>
        <v>3227.7717858938854</v>
      </c>
      <c r="V70" s="3">
        <f t="shared" si="11"/>
        <v>1065.0458779283426</v>
      </c>
      <c r="W70" s="3">
        <f t="shared" si="12"/>
        <v>0</v>
      </c>
      <c r="X70" s="3">
        <f t="shared" si="13"/>
        <v>2162.7259079655428</v>
      </c>
      <c r="Y70" s="3">
        <f t="shared" si="14"/>
        <v>86893.276008147193</v>
      </c>
      <c r="Z70" s="3">
        <f t="shared" si="15"/>
        <v>23503.718080617127</v>
      </c>
      <c r="AA70" s="3">
        <f t="shared" si="16"/>
        <v>110396.99408876432</v>
      </c>
      <c r="AB70" s="3">
        <f t="shared" si="17"/>
        <v>315621.35708257277</v>
      </c>
      <c r="AC70" s="3">
        <f t="shared" si="18"/>
        <v>31.562135708258182</v>
      </c>
      <c r="AD70" s="3">
        <f t="shared" si="19"/>
        <v>2162.7259079655428</v>
      </c>
      <c r="AE70" s="3">
        <f t="shared" si="20"/>
        <v>31.562135708258182</v>
      </c>
      <c r="AF70" s="3">
        <f t="shared" si="21"/>
        <v>2131.1637722572846</v>
      </c>
      <c r="AG70" s="3">
        <f t="shared" si="22"/>
        <v>0</v>
      </c>
      <c r="AH70" s="3">
        <f t="shared" si="23"/>
        <v>1000000</v>
      </c>
      <c r="AI70" s="3">
        <f t="shared" si="24"/>
        <v>0</v>
      </c>
      <c r="AJ70" s="3">
        <f t="shared" si="1"/>
        <v>31.562135708258182</v>
      </c>
      <c r="AK70" s="3">
        <f t="shared" si="2"/>
        <v>0</v>
      </c>
      <c r="AL70" s="3">
        <f t="shared" si="25"/>
        <v>315589.79494686448</v>
      </c>
      <c r="AM70" s="3">
        <f t="shared" si="37"/>
        <v>1000000</v>
      </c>
      <c r="AN70" s="3">
        <f t="shared" si="26"/>
        <v>0</v>
      </c>
      <c r="AO70" s="3">
        <f t="shared" si="27"/>
        <v>1000000</v>
      </c>
      <c r="AP70" s="3">
        <f t="shared" si="28"/>
        <v>1000000</v>
      </c>
      <c r="AQ70" s="3">
        <f t="shared" si="29"/>
        <v>2131.1637722572846</v>
      </c>
      <c r="AR70" s="3">
        <f t="shared" si="30"/>
        <v>0</v>
      </c>
      <c r="AS70" s="3">
        <f t="shared" si="31"/>
        <v>1000000</v>
      </c>
      <c r="AT70" s="3">
        <f t="shared" si="32"/>
        <v>2131.1637722572846</v>
      </c>
    </row>
    <row r="71" spans="1:46" ht="14.5" x14ac:dyDescent="0.35">
      <c r="A71" s="1">
        <v>59</v>
      </c>
      <c r="B71" s="3">
        <v>374160.54434103268</v>
      </c>
      <c r="C71" s="3">
        <v>14602.806333878654</v>
      </c>
      <c r="E71" s="15">
        <v>8.4400000000000072E-2</v>
      </c>
      <c r="F71" s="14">
        <f t="shared" si="33"/>
        <v>1.0000000000000286E-4</v>
      </c>
      <c r="G71" s="14">
        <f t="shared" si="34"/>
        <v>1.0000000000000286E-4</v>
      </c>
      <c r="I71" s="14">
        <f t="shared" si="35"/>
        <v>7.4468085106383003E-2</v>
      </c>
      <c r="J71" s="50">
        <f t="shared" si="3"/>
        <v>0.15989161215125455</v>
      </c>
      <c r="K71" s="16">
        <f t="shared" si="4"/>
        <v>64645.113568591303</v>
      </c>
      <c r="L71" s="16">
        <f t="shared" si="5"/>
        <v>2522.9813462461475</v>
      </c>
      <c r="N71" s="1">
        <v>59</v>
      </c>
      <c r="O71" s="3">
        <f t="shared" si="36"/>
        <v>315589.79494686448</v>
      </c>
      <c r="P71" s="3">
        <f t="shared" si="38"/>
        <v>131.49574789452689</v>
      </c>
      <c r="Q71" s="3">
        <f t="shared" si="7"/>
        <v>131.49574789452689</v>
      </c>
      <c r="R71" s="3">
        <v>0</v>
      </c>
      <c r="S71" s="3">
        <f t="shared" si="8"/>
        <v>2391.4855983516204</v>
      </c>
      <c r="T71" s="3">
        <f t="shared" si="39"/>
        <v>788.97448736716126</v>
      </c>
      <c r="U71" s="3">
        <f t="shared" si="10"/>
        <v>2391.4855983516204</v>
      </c>
      <c r="V71" s="3">
        <f t="shared" si="11"/>
        <v>788.97448736716126</v>
      </c>
      <c r="W71" s="3">
        <f t="shared" si="12"/>
        <v>0</v>
      </c>
      <c r="X71" s="3">
        <f t="shared" si="13"/>
        <v>1602.5111109844593</v>
      </c>
      <c r="Y71" s="3">
        <f t="shared" si="14"/>
        <v>64645.113568591303</v>
      </c>
      <c r="Z71" s="3">
        <f t="shared" si="15"/>
        <v>18687.369889871414</v>
      </c>
      <c r="AA71" s="3">
        <f t="shared" si="16"/>
        <v>83332.483458462724</v>
      </c>
      <c r="AB71" s="3">
        <f t="shared" si="17"/>
        <v>232257.31148840176</v>
      </c>
      <c r="AC71" s="3">
        <f t="shared" si="18"/>
        <v>23.22573114884084</v>
      </c>
      <c r="AD71" s="3">
        <f t="shared" si="19"/>
        <v>1602.5111109844593</v>
      </c>
      <c r="AE71" s="3">
        <f t="shared" si="20"/>
        <v>23.22573114884084</v>
      </c>
      <c r="AF71" s="3">
        <f t="shared" si="21"/>
        <v>1579.2853798356184</v>
      </c>
      <c r="AG71" s="3">
        <f t="shared" si="22"/>
        <v>0</v>
      </c>
      <c r="AH71" s="3">
        <f t="shared" si="23"/>
        <v>1000000</v>
      </c>
      <c r="AI71" s="3">
        <f t="shared" si="24"/>
        <v>0</v>
      </c>
      <c r="AJ71" s="3">
        <f t="shared" si="1"/>
        <v>23.22573114884084</v>
      </c>
      <c r="AK71" s="3">
        <f t="shared" si="2"/>
        <v>0</v>
      </c>
      <c r="AL71" s="3">
        <f t="shared" si="25"/>
        <v>232234.08575725291</v>
      </c>
      <c r="AM71" s="3">
        <f t="shared" si="37"/>
        <v>1000000</v>
      </c>
      <c r="AN71" s="3">
        <f t="shared" si="26"/>
        <v>0</v>
      </c>
      <c r="AO71" s="3">
        <f t="shared" si="27"/>
        <v>1000000</v>
      </c>
      <c r="AP71" s="3">
        <f t="shared" si="28"/>
        <v>1000000</v>
      </c>
      <c r="AQ71" s="3">
        <f t="shared" si="29"/>
        <v>1579.2853798356184</v>
      </c>
      <c r="AR71" s="3">
        <f t="shared" si="30"/>
        <v>0</v>
      </c>
      <c r="AS71" s="3">
        <f t="shared" si="31"/>
        <v>1000000</v>
      </c>
      <c r="AT71" s="3">
        <f t="shared" si="32"/>
        <v>1579.2853798356184</v>
      </c>
    </row>
    <row r="72" spans="1:46" ht="14.5" x14ac:dyDescent="0.35">
      <c r="A72" s="1">
        <v>60</v>
      </c>
      <c r="B72" s="3">
        <v>329252.67582841899</v>
      </c>
      <c r="C72" s="3">
        <v>11600.130788790873</v>
      </c>
      <c r="E72" s="15">
        <v>8.4500000000000075E-2</v>
      </c>
      <c r="F72" s="14">
        <f t="shared" si="33"/>
        <v>1.0000000000000286E-4</v>
      </c>
      <c r="G72" s="14">
        <f t="shared" si="34"/>
        <v>1.0000000000000286E-4</v>
      </c>
      <c r="I72" s="14">
        <f t="shared" si="35"/>
        <v>8.0459770114942555E-2</v>
      </c>
      <c r="J72" s="50">
        <f t="shared" si="3"/>
        <v>0.14701206711727763</v>
      </c>
      <c r="K72" s="16">
        <f t="shared" si="4"/>
        <v>52644.741143320316</v>
      </c>
      <c r="L72" s="16">
        <f t="shared" si="5"/>
        <v>1854.7636129851769</v>
      </c>
      <c r="N72" s="1">
        <v>60</v>
      </c>
      <c r="O72" s="3">
        <f t="shared" si="36"/>
        <v>232234.08575725291</v>
      </c>
      <c r="P72" s="3">
        <f t="shared" si="38"/>
        <v>96.764202398855389</v>
      </c>
      <c r="Q72" s="3">
        <f t="shared" si="7"/>
        <v>96.764202398855389</v>
      </c>
      <c r="R72" s="3">
        <v>0</v>
      </c>
      <c r="S72" s="3">
        <f t="shared" si="8"/>
        <v>1757.9994105863216</v>
      </c>
      <c r="T72" s="3">
        <f t="shared" si="39"/>
        <v>580.58521439313233</v>
      </c>
      <c r="U72" s="3">
        <f t="shared" si="10"/>
        <v>1757.9994105863216</v>
      </c>
      <c r="V72" s="3">
        <f t="shared" si="11"/>
        <v>580.58521439313233</v>
      </c>
      <c r="W72" s="3">
        <f t="shared" si="12"/>
        <v>0</v>
      </c>
      <c r="X72" s="3">
        <f t="shared" si="13"/>
        <v>1177.4141961931891</v>
      </c>
      <c r="Y72" s="3">
        <f t="shared" si="14"/>
        <v>52644.741143320316</v>
      </c>
      <c r="Z72" s="3">
        <f t="shared" si="15"/>
        <v>14449.717382730214</v>
      </c>
      <c r="AA72" s="3">
        <f t="shared" si="16"/>
        <v>67094.458526050526</v>
      </c>
      <c r="AB72" s="3">
        <f t="shared" si="17"/>
        <v>165139.62723120238</v>
      </c>
      <c r="AC72" s="3">
        <f t="shared" si="18"/>
        <v>16.513962723120709</v>
      </c>
      <c r="AD72" s="3">
        <f t="shared" si="19"/>
        <v>1177.4141961931891</v>
      </c>
      <c r="AE72" s="3">
        <f t="shared" si="20"/>
        <v>16.513962723120709</v>
      </c>
      <c r="AF72" s="3">
        <f t="shared" si="21"/>
        <v>1160.9002334700683</v>
      </c>
      <c r="AG72" s="3">
        <f t="shared" si="22"/>
        <v>0</v>
      </c>
      <c r="AH72" s="3">
        <f t="shared" si="23"/>
        <v>1000000</v>
      </c>
      <c r="AI72" s="3">
        <f t="shared" si="24"/>
        <v>0</v>
      </c>
      <c r="AJ72" s="3">
        <f t="shared" si="1"/>
        <v>16.513962723120709</v>
      </c>
      <c r="AK72" s="3">
        <f t="shared" si="2"/>
        <v>0</v>
      </c>
      <c r="AL72" s="3">
        <f t="shared" si="25"/>
        <v>165123.11326847927</v>
      </c>
      <c r="AM72" s="3">
        <f t="shared" si="37"/>
        <v>1000000</v>
      </c>
      <c r="AN72" s="3">
        <f t="shared" si="26"/>
        <v>0</v>
      </c>
      <c r="AO72" s="3">
        <f t="shared" si="27"/>
        <v>1000000</v>
      </c>
      <c r="AP72" s="3">
        <f t="shared" si="28"/>
        <v>1000000</v>
      </c>
      <c r="AQ72" s="3">
        <f t="shared" si="29"/>
        <v>1160.9002334700683</v>
      </c>
      <c r="AR72" s="3">
        <f t="shared" si="30"/>
        <v>0</v>
      </c>
      <c r="AS72" s="3">
        <f t="shared" si="31"/>
        <v>1000000</v>
      </c>
      <c r="AT72" s="3">
        <f t="shared" si="32"/>
        <v>1160.9002334700683</v>
      </c>
    </row>
    <row r="73" spans="1:46" ht="14.5" x14ac:dyDescent="0.35">
      <c r="A73" s="1">
        <v>61</v>
      </c>
      <c r="B73" s="3">
        <v>271624.11532763595</v>
      </c>
      <c r="C73" s="3">
        <v>8959.7981482051055</v>
      </c>
      <c r="I73" s="14">
        <f t="shared" si="35"/>
        <v>8.7499999999999981E-2</v>
      </c>
      <c r="J73" s="50">
        <f t="shared" si="3"/>
        <v>0.13414851124451582</v>
      </c>
      <c r="K73" s="16">
        <f t="shared" si="4"/>
        <v>39932.022673217572</v>
      </c>
      <c r="L73" s="16">
        <f t="shared" si="5"/>
        <v>1317.1984467211887</v>
      </c>
      <c r="N73" s="1">
        <v>61</v>
      </c>
      <c r="O73" s="3">
        <f t="shared" si="36"/>
        <v>165123.11326847927</v>
      </c>
      <c r="P73" s="3">
        <f t="shared" si="38"/>
        <v>68.801297195199695</v>
      </c>
      <c r="Q73" s="3">
        <f t="shared" si="7"/>
        <v>68.801297195199695</v>
      </c>
      <c r="R73" s="3">
        <v>0</v>
      </c>
      <c r="S73" s="3">
        <f t="shared" si="8"/>
        <v>1248.3971495259891</v>
      </c>
      <c r="T73" s="3">
        <f t="shared" si="39"/>
        <v>412.8077831711982</v>
      </c>
      <c r="U73" s="3">
        <f t="shared" si="10"/>
        <v>1248.3971495259891</v>
      </c>
      <c r="V73" s="3">
        <f t="shared" si="11"/>
        <v>412.8077831711982</v>
      </c>
      <c r="W73" s="3">
        <f t="shared" si="12"/>
        <v>0</v>
      </c>
      <c r="X73" s="3">
        <f t="shared" si="13"/>
        <v>835.58936635479085</v>
      </c>
      <c r="Y73" s="3">
        <f t="shared" si="14"/>
        <v>39932.022673217572</v>
      </c>
      <c r="Z73" s="3">
        <f t="shared" si="15"/>
        <v>10954.220427085394</v>
      </c>
      <c r="AA73" s="3">
        <f t="shared" si="16"/>
        <v>50886.243100302963</v>
      </c>
      <c r="AB73" s="3">
        <f t="shared" si="17"/>
        <v>114236.87016817631</v>
      </c>
      <c r="AC73" s="3">
        <f t="shared" si="18"/>
        <v>0</v>
      </c>
      <c r="AD73" s="3">
        <f t="shared" si="19"/>
        <v>835.58936635479085</v>
      </c>
      <c r="AE73" s="3">
        <f t="shared" si="20"/>
        <v>0</v>
      </c>
      <c r="AF73" s="3">
        <f t="shared" si="21"/>
        <v>835.58936635479085</v>
      </c>
      <c r="AG73" s="3">
        <f t="shared" si="22"/>
        <v>0</v>
      </c>
      <c r="AH73" s="3">
        <f t="shared" si="23"/>
        <v>1000000</v>
      </c>
      <c r="AI73" s="3">
        <f t="shared" si="24"/>
        <v>0</v>
      </c>
      <c r="AJ73" s="3">
        <f t="shared" si="1"/>
        <v>0</v>
      </c>
      <c r="AK73" s="3">
        <f t="shared" si="2"/>
        <v>0</v>
      </c>
      <c r="AL73" s="3">
        <f t="shared" si="25"/>
        <v>114236.87016817631</v>
      </c>
      <c r="AM73" s="3">
        <f t="shared" si="37"/>
        <v>1000000</v>
      </c>
      <c r="AN73" s="3">
        <f t="shared" si="26"/>
        <v>0</v>
      </c>
      <c r="AO73" s="3">
        <f t="shared" si="27"/>
        <v>1000000</v>
      </c>
      <c r="AP73" s="3">
        <f t="shared" si="28"/>
        <v>1000000</v>
      </c>
      <c r="AQ73" s="3">
        <f t="shared" si="29"/>
        <v>835.58936635479085</v>
      </c>
      <c r="AR73" s="3">
        <f t="shared" si="30"/>
        <v>0</v>
      </c>
      <c r="AS73" s="3">
        <f t="shared" si="31"/>
        <v>1000000</v>
      </c>
      <c r="AT73" s="3">
        <f t="shared" si="32"/>
        <v>835.58936635479085</v>
      </c>
    </row>
    <row r="74" spans="1:46" ht="14.5" x14ac:dyDescent="0.35">
      <c r="A74" s="1">
        <v>62</v>
      </c>
      <c r="B74" s="3">
        <v>218758.10318040257</v>
      </c>
      <c r="C74" s="3">
        <v>6788.6949856167339</v>
      </c>
      <c r="I74" s="14">
        <f t="shared" si="35"/>
        <v>9.5890410958904104E-2</v>
      </c>
      <c r="J74" s="50">
        <f t="shared" si="3"/>
        <v>0.12128495537175404</v>
      </c>
      <c r="K74" s="16">
        <f t="shared" si="4"/>
        <v>29346.073864325186</v>
      </c>
      <c r="L74" s="16">
        <f t="shared" si="5"/>
        <v>910.69332561359465</v>
      </c>
      <c r="N74" s="1">
        <v>62</v>
      </c>
      <c r="O74" s="3">
        <f t="shared" si="36"/>
        <v>114236.87016817631</v>
      </c>
      <c r="P74" s="3">
        <f t="shared" si="38"/>
        <v>47.598695903406792</v>
      </c>
      <c r="Q74" s="3">
        <f t="shared" si="7"/>
        <v>47.598695903406792</v>
      </c>
      <c r="R74" s="3">
        <v>0</v>
      </c>
      <c r="S74" s="3">
        <f t="shared" si="8"/>
        <v>863.09462971018786</v>
      </c>
      <c r="T74" s="3">
        <f t="shared" si="39"/>
        <v>285.59217542044075</v>
      </c>
      <c r="U74" s="3">
        <f t="shared" si="10"/>
        <v>863.09462971018786</v>
      </c>
      <c r="V74" s="3">
        <f t="shared" si="11"/>
        <v>285.59217542044075</v>
      </c>
      <c r="W74" s="3">
        <f t="shared" si="12"/>
        <v>0</v>
      </c>
      <c r="X74" s="3">
        <f t="shared" si="13"/>
        <v>577.50245428974711</v>
      </c>
      <c r="Y74" s="3">
        <f t="shared" si="14"/>
        <v>29346.073864325186</v>
      </c>
      <c r="Z74" s="3">
        <f t="shared" si="15"/>
        <v>8140.2133442049017</v>
      </c>
      <c r="AA74" s="3">
        <f t="shared" si="16"/>
        <v>37486.287208530091</v>
      </c>
      <c r="AB74" s="3">
        <f t="shared" si="17"/>
        <v>76750.582959646214</v>
      </c>
      <c r="AC74" s="3">
        <f t="shared" si="18"/>
        <v>0</v>
      </c>
      <c r="AD74" s="3">
        <f t="shared" si="19"/>
        <v>577.50245428974711</v>
      </c>
      <c r="AE74" s="3">
        <f t="shared" si="20"/>
        <v>0</v>
      </c>
      <c r="AF74" s="3">
        <f t="shared" si="21"/>
        <v>577.50245428974711</v>
      </c>
      <c r="AG74" s="3">
        <f t="shared" si="22"/>
        <v>0</v>
      </c>
      <c r="AH74" s="3">
        <f t="shared" si="23"/>
        <v>1000000</v>
      </c>
      <c r="AI74" s="3">
        <f t="shared" si="24"/>
        <v>0</v>
      </c>
      <c r="AJ74" s="3">
        <f t="shared" si="1"/>
        <v>0</v>
      </c>
      <c r="AK74" s="3">
        <f t="shared" si="2"/>
        <v>0</v>
      </c>
      <c r="AL74" s="3">
        <f t="shared" si="25"/>
        <v>76750.582959646214</v>
      </c>
      <c r="AM74" s="3">
        <f t="shared" si="37"/>
        <v>1000000</v>
      </c>
      <c r="AN74" s="3">
        <f t="shared" si="26"/>
        <v>0</v>
      </c>
      <c r="AO74" s="3">
        <f t="shared" si="27"/>
        <v>1000000</v>
      </c>
      <c r="AP74" s="3">
        <f t="shared" si="28"/>
        <v>1000000</v>
      </c>
      <c r="AQ74" s="3">
        <f t="shared" si="29"/>
        <v>577.50245428974711</v>
      </c>
      <c r="AR74" s="3">
        <f t="shared" si="30"/>
        <v>0</v>
      </c>
      <c r="AS74" s="3">
        <f t="shared" si="31"/>
        <v>1000000</v>
      </c>
      <c r="AT74" s="3">
        <f t="shared" si="32"/>
        <v>577.50245428974711</v>
      </c>
    </row>
    <row r="75" spans="1:46" ht="14.5" x14ac:dyDescent="0.35">
      <c r="A75" s="1">
        <v>63</v>
      </c>
      <c r="B75" s="3">
        <v>171441.893966195</v>
      </c>
      <c r="C75" s="3">
        <v>5042.2757032417248</v>
      </c>
      <c r="I75" s="14">
        <f t="shared" si="35"/>
        <v>0.10606060606060606</v>
      </c>
      <c r="J75" s="50">
        <f t="shared" si="3"/>
        <v>0.10842139949899225</v>
      </c>
      <c r="K75" s="16">
        <f t="shared" si="4"/>
        <v>20793.322458538951</v>
      </c>
      <c r="L75" s="16">
        <f t="shared" si="5"/>
        <v>611.55218363975234</v>
      </c>
      <c r="N75" s="1">
        <v>63</v>
      </c>
      <c r="O75" s="3">
        <f t="shared" si="36"/>
        <v>76750.582959646214</v>
      </c>
      <c r="P75" s="3">
        <f t="shared" si="38"/>
        <v>31.979409566519255</v>
      </c>
      <c r="Q75" s="3">
        <f t="shared" si="7"/>
        <v>31.979409566519255</v>
      </c>
      <c r="R75" s="3">
        <v>0</v>
      </c>
      <c r="S75" s="3">
        <f t="shared" si="8"/>
        <v>579.57277407323306</v>
      </c>
      <c r="T75" s="3">
        <f t="shared" si="39"/>
        <v>191.87645739911554</v>
      </c>
      <c r="U75" s="3">
        <f t="shared" si="10"/>
        <v>579.57277407323306</v>
      </c>
      <c r="V75" s="3">
        <f t="shared" si="11"/>
        <v>191.87645739911554</v>
      </c>
      <c r="W75" s="3">
        <f t="shared" si="12"/>
        <v>0</v>
      </c>
      <c r="X75" s="3">
        <f t="shared" si="13"/>
        <v>387.6963166741175</v>
      </c>
      <c r="Y75" s="3">
        <f t="shared" si="14"/>
        <v>20793.322458538951</v>
      </c>
      <c r="Z75" s="3">
        <f t="shared" si="15"/>
        <v>5934.8609622386484</v>
      </c>
      <c r="AA75" s="3">
        <f t="shared" si="16"/>
        <v>26728.183420777597</v>
      </c>
      <c r="AB75" s="3">
        <f t="shared" si="17"/>
        <v>50022.399538868616</v>
      </c>
      <c r="AC75" s="3">
        <f t="shared" si="18"/>
        <v>0</v>
      </c>
      <c r="AD75" s="3">
        <f t="shared" si="19"/>
        <v>387.6963166741175</v>
      </c>
      <c r="AE75" s="3">
        <f t="shared" si="20"/>
        <v>0</v>
      </c>
      <c r="AF75" s="3">
        <f t="shared" si="21"/>
        <v>387.6963166741175</v>
      </c>
      <c r="AG75" s="3">
        <f t="shared" si="22"/>
        <v>0</v>
      </c>
      <c r="AH75" s="3">
        <f t="shared" si="23"/>
        <v>1000000</v>
      </c>
      <c r="AI75" s="3">
        <f t="shared" si="24"/>
        <v>0</v>
      </c>
      <c r="AJ75" s="3">
        <f t="shared" si="1"/>
        <v>0</v>
      </c>
      <c r="AK75" s="3">
        <f t="shared" si="2"/>
        <v>0</v>
      </c>
      <c r="AL75" s="3">
        <f t="shared" si="25"/>
        <v>50022.399538868616</v>
      </c>
      <c r="AM75" s="3">
        <f t="shared" si="37"/>
        <v>1000000</v>
      </c>
      <c r="AN75" s="3">
        <f t="shared" si="26"/>
        <v>0</v>
      </c>
      <c r="AO75" s="3">
        <f t="shared" si="27"/>
        <v>1000000</v>
      </c>
      <c r="AP75" s="3">
        <f t="shared" si="28"/>
        <v>1000000</v>
      </c>
      <c r="AQ75" s="3">
        <f t="shared" si="29"/>
        <v>387.6963166741175</v>
      </c>
      <c r="AR75" s="3">
        <f t="shared" si="30"/>
        <v>0</v>
      </c>
      <c r="AS75" s="3">
        <f t="shared" si="31"/>
        <v>1000000</v>
      </c>
      <c r="AT75" s="3">
        <f t="shared" si="32"/>
        <v>387.6963166741175</v>
      </c>
    </row>
    <row r="76" spans="1:46" ht="14.5" x14ac:dyDescent="0.35">
      <c r="A76" s="1">
        <v>64</v>
      </c>
      <c r="B76" s="3">
        <v>132782.30105384893</v>
      </c>
      <c r="C76" s="3">
        <v>3677.8749209337811</v>
      </c>
      <c r="I76" s="14">
        <f t="shared" si="35"/>
        <v>0.11864406779661017</v>
      </c>
      <c r="J76" s="50">
        <f t="shared" si="3"/>
        <v>9.555784362623046E-2</v>
      </c>
      <c r="K76" s="16">
        <f t="shared" si="4"/>
        <v>14396.442908954816</v>
      </c>
      <c r="L76" s="16">
        <f t="shared" si="5"/>
        <v>398.76034610988603</v>
      </c>
      <c r="N76" s="1">
        <v>64</v>
      </c>
      <c r="O76" s="3">
        <f t="shared" si="36"/>
        <v>50022.399538868616</v>
      </c>
      <c r="P76" s="3">
        <f t="shared" si="38"/>
        <v>20.842666474528588</v>
      </c>
      <c r="Q76" s="3">
        <f t="shared" si="7"/>
        <v>20.842666474528588</v>
      </c>
      <c r="R76" s="3">
        <v>0</v>
      </c>
      <c r="S76" s="3">
        <f t="shared" si="8"/>
        <v>377.91767963535744</v>
      </c>
      <c r="T76" s="3">
        <f t="shared" si="39"/>
        <v>125.05599884717154</v>
      </c>
      <c r="U76" s="3">
        <f t="shared" si="10"/>
        <v>377.91767963535744</v>
      </c>
      <c r="V76" s="3">
        <f t="shared" si="11"/>
        <v>125.05599884717154</v>
      </c>
      <c r="W76" s="3">
        <f t="shared" si="12"/>
        <v>0</v>
      </c>
      <c r="X76" s="3">
        <f t="shared" si="13"/>
        <v>252.86168078818591</v>
      </c>
      <c r="Y76" s="3">
        <f t="shared" si="14"/>
        <v>14396.442908954816</v>
      </c>
      <c r="Z76" s="3">
        <f t="shared" si="15"/>
        <v>4226.808413718587</v>
      </c>
      <c r="AA76" s="3">
        <f t="shared" si="16"/>
        <v>18623.251322673401</v>
      </c>
      <c r="AB76" s="3">
        <f t="shared" si="17"/>
        <v>31399.148216195215</v>
      </c>
      <c r="AC76" s="3">
        <f t="shared" si="18"/>
        <v>0</v>
      </c>
      <c r="AD76" s="3">
        <f t="shared" si="19"/>
        <v>252.86168078818591</v>
      </c>
      <c r="AE76" s="3">
        <f t="shared" si="20"/>
        <v>0</v>
      </c>
      <c r="AF76" s="3">
        <f t="shared" si="21"/>
        <v>252.86168078818591</v>
      </c>
      <c r="AG76" s="3">
        <f t="shared" si="22"/>
        <v>0</v>
      </c>
      <c r="AH76" s="3">
        <f t="shared" si="23"/>
        <v>1000000</v>
      </c>
      <c r="AI76" s="3">
        <f t="shared" si="24"/>
        <v>0</v>
      </c>
      <c r="AJ76" s="3">
        <f t="shared" si="1"/>
        <v>0</v>
      </c>
      <c r="AK76" s="3">
        <f t="shared" si="2"/>
        <v>0</v>
      </c>
      <c r="AL76" s="3">
        <f t="shared" si="25"/>
        <v>31399.148216195215</v>
      </c>
      <c r="AM76" s="3">
        <f t="shared" si="37"/>
        <v>1000000</v>
      </c>
      <c r="AN76" s="3">
        <f t="shared" si="26"/>
        <v>0</v>
      </c>
      <c r="AO76" s="3">
        <f t="shared" si="27"/>
        <v>1000000</v>
      </c>
      <c r="AP76" s="3">
        <f t="shared" si="28"/>
        <v>1000000</v>
      </c>
      <c r="AQ76" s="3">
        <f t="shared" si="29"/>
        <v>252.86168078818591</v>
      </c>
      <c r="AR76" s="3">
        <f t="shared" si="30"/>
        <v>0</v>
      </c>
      <c r="AS76" s="3">
        <f t="shared" si="31"/>
        <v>1000000</v>
      </c>
      <c r="AT76" s="3">
        <f t="shared" si="32"/>
        <v>252.86168078818591</v>
      </c>
    </row>
    <row r="77" spans="1:46" ht="14.5" x14ac:dyDescent="0.35">
      <c r="A77" s="1">
        <v>65</v>
      </c>
      <c r="B77" s="3">
        <v>108597.33382044018</v>
      </c>
      <c r="C77" s="3">
        <v>2617.6794248079318</v>
      </c>
      <c r="I77" s="14">
        <f t="shared" si="35"/>
        <v>0.13461538461538464</v>
      </c>
      <c r="J77" s="50">
        <f t="shared" si="3"/>
        <v>8.2694287753468668E-2</v>
      </c>
      <c r="K77" s="16">
        <f t="shared" si="4"/>
        <v>10377.327043439171</v>
      </c>
      <c r="L77" s="16">
        <f t="shared" si="5"/>
        <v>250.13980113939724</v>
      </c>
      <c r="N77" s="1">
        <v>65</v>
      </c>
      <c r="O77" s="3">
        <f t="shared" si="36"/>
        <v>31399.148216195215</v>
      </c>
      <c r="P77" s="3">
        <f t="shared" ref="P77:P82" si="40">O77*ServicingFee/12</f>
        <v>13.082978423414673</v>
      </c>
      <c r="Q77" s="3">
        <f t="shared" si="7"/>
        <v>13.082978423414673</v>
      </c>
      <c r="R77" s="3">
        <v>0</v>
      </c>
      <c r="S77" s="3">
        <f t="shared" si="8"/>
        <v>237.05682271598255</v>
      </c>
      <c r="T77" s="3">
        <f t="shared" ref="T77:T82" si="41">O77*(Coupon/12)</f>
        <v>78.497870540488037</v>
      </c>
      <c r="U77" s="3">
        <f t="shared" si="10"/>
        <v>237.05682271598255</v>
      </c>
      <c r="V77" s="3">
        <f t="shared" si="11"/>
        <v>78.497870540488037</v>
      </c>
      <c r="W77" s="3">
        <f t="shared" si="12"/>
        <v>0</v>
      </c>
      <c r="X77" s="3">
        <f t="shared" si="13"/>
        <v>158.55895217549451</v>
      </c>
      <c r="Y77" s="3">
        <f t="shared" si="14"/>
        <v>10377.327043439171</v>
      </c>
      <c r="Z77" s="3">
        <f t="shared" si="15"/>
        <v>2829.8605424863913</v>
      </c>
      <c r="AA77" s="3">
        <f t="shared" si="16"/>
        <v>13207.187585925562</v>
      </c>
      <c r="AB77" s="3">
        <f t="shared" si="17"/>
        <v>18191.960630269656</v>
      </c>
      <c r="AC77" s="3">
        <f t="shared" si="18"/>
        <v>0</v>
      </c>
      <c r="AD77" s="3">
        <f t="shared" si="19"/>
        <v>158.55895217549451</v>
      </c>
      <c r="AE77" s="3">
        <f t="shared" si="20"/>
        <v>0</v>
      </c>
      <c r="AF77" s="3">
        <f t="shared" si="21"/>
        <v>158.55895217549451</v>
      </c>
      <c r="AG77" s="3">
        <f t="shared" si="22"/>
        <v>0</v>
      </c>
      <c r="AH77" s="3">
        <f t="shared" si="23"/>
        <v>1000000</v>
      </c>
      <c r="AI77" s="3">
        <f t="shared" si="24"/>
        <v>0</v>
      </c>
      <c r="AJ77" s="3">
        <f t="shared" ref="AJ77:AJ82" si="42">AC77-AK77</f>
        <v>0</v>
      </c>
      <c r="AK77" s="3">
        <f t="shared" ref="AK77:AK82" si="43">AG77-AI77</f>
        <v>0</v>
      </c>
      <c r="AL77" s="3">
        <f t="shared" si="25"/>
        <v>18191.960630269656</v>
      </c>
      <c r="AM77" s="3">
        <f t="shared" si="37"/>
        <v>1000000</v>
      </c>
      <c r="AN77" s="3">
        <f t="shared" si="26"/>
        <v>0</v>
      </c>
      <c r="AO77" s="3">
        <f t="shared" si="27"/>
        <v>1000000</v>
      </c>
      <c r="AP77" s="3">
        <f t="shared" si="28"/>
        <v>1000000</v>
      </c>
      <c r="AQ77" s="3">
        <f t="shared" si="29"/>
        <v>158.55895217549451</v>
      </c>
      <c r="AR77" s="3">
        <f t="shared" si="30"/>
        <v>0</v>
      </c>
      <c r="AS77" s="3">
        <f t="shared" si="31"/>
        <v>1000000</v>
      </c>
      <c r="AT77" s="3">
        <f t="shared" si="32"/>
        <v>158.55895217549451</v>
      </c>
    </row>
    <row r="78" spans="1:46" ht="14.5" x14ac:dyDescent="0.35">
      <c r="A78" s="1">
        <v>66</v>
      </c>
      <c r="B78" s="3">
        <v>87528.077248558038</v>
      </c>
      <c r="C78" s="3">
        <v>1750.3881596972008</v>
      </c>
      <c r="I78" s="14">
        <f t="shared" si="35"/>
        <v>0.15555555555555561</v>
      </c>
      <c r="J78" s="50">
        <f t="shared" ref="J78:J82" si="44">J77*(1-I78)*(1-G78)</f>
        <v>6.9830731880706862E-2</v>
      </c>
      <c r="K78" s="16">
        <f t="shared" ref="K78:K82" si="45">B78*J77</f>
        <v>7238.0720065000924</v>
      </c>
      <c r="L78" s="16">
        <f t="shared" ref="L78:L82" si="46">C78*J77</f>
        <v>144.74710215826479</v>
      </c>
      <c r="N78" s="1">
        <v>66</v>
      </c>
      <c r="O78" s="3">
        <f t="shared" si="36"/>
        <v>18191.960630269656</v>
      </c>
      <c r="P78" s="3">
        <f t="shared" si="40"/>
        <v>7.5799835959456905</v>
      </c>
      <c r="Q78" s="3">
        <f t="shared" ref="Q78:Q82" si="47">MIN(P78,L78)</f>
        <v>7.5799835959456905</v>
      </c>
      <c r="R78" s="3">
        <v>0</v>
      </c>
      <c r="S78" s="3">
        <f t="shared" ref="S78:S82" si="48">L78-Q78</f>
        <v>137.1671185623191</v>
      </c>
      <c r="T78" s="3">
        <f t="shared" si="41"/>
        <v>45.479901575674141</v>
      </c>
      <c r="U78" s="3">
        <f t="shared" ref="U78:U82" si="49">S78</f>
        <v>137.1671185623191</v>
      </c>
      <c r="V78" s="3">
        <f t="shared" ref="V78:V82" si="50">MIN(T78,U78)</f>
        <v>45.479901575674141</v>
      </c>
      <c r="W78" s="3">
        <f t="shared" ref="W78:W82" si="51">T78-V78</f>
        <v>0</v>
      </c>
      <c r="X78" s="3">
        <f t="shared" ref="X78:X82" si="52">MAX(0,U78-V78)</f>
        <v>91.687216986644955</v>
      </c>
      <c r="Y78" s="3">
        <f t="shared" ref="Y78:Y82" si="53">K78</f>
        <v>7238.0720065000924</v>
      </c>
      <c r="Z78" s="3">
        <f t="shared" ref="Z78:Z82" si="54">MAX(0,(O78-Y78)*I78)</f>
        <v>1703.9382303641548</v>
      </c>
      <c r="AA78" s="3">
        <f t="shared" ref="AA78:AA82" si="55">Y78+Z78</f>
        <v>8942.0102368642474</v>
      </c>
      <c r="AB78" s="3">
        <f t="shared" ref="AB78:AB82" si="56">MAX(0,O78-AA78)</f>
        <v>9249.9503934054082</v>
      </c>
      <c r="AC78" s="3">
        <f t="shared" ref="AC78:AC82" si="57">AB78*G78</f>
        <v>0</v>
      </c>
      <c r="AD78" s="3">
        <f t="shared" ref="AD78:AD82" si="58">X78</f>
        <v>91.687216986644955</v>
      </c>
      <c r="AE78" s="3">
        <f t="shared" ref="AE78:AE82" si="59">MIN(AC78,AD78)</f>
        <v>0</v>
      </c>
      <c r="AF78" s="3">
        <f t="shared" ref="AF78:AF82" si="60">AD78-AE78</f>
        <v>91.687216986644955</v>
      </c>
      <c r="AG78" s="3">
        <f t="shared" ref="AG78:AG82" si="61">AC78-AE78</f>
        <v>0</v>
      </c>
      <c r="AH78" s="3">
        <f t="shared" ref="AH78:AH82" si="62">AM78</f>
        <v>1000000</v>
      </c>
      <c r="AI78" s="3">
        <f t="shared" ref="AI78:AI82" si="63">MIN(AG78,AH77)</f>
        <v>0</v>
      </c>
      <c r="AJ78" s="3">
        <f t="shared" si="42"/>
        <v>0</v>
      </c>
      <c r="AK78" s="3">
        <f t="shared" si="43"/>
        <v>0</v>
      </c>
      <c r="AL78" s="3">
        <f t="shared" ref="AL78:AL82" si="64">AB78-AJ78</f>
        <v>9249.9503934054082</v>
      </c>
      <c r="AM78" s="3">
        <f t="shared" si="37"/>
        <v>1000000</v>
      </c>
      <c r="AN78" s="3">
        <f t="shared" ref="AN78:AN82" si="65">AI78</f>
        <v>0</v>
      </c>
      <c r="AO78" s="3">
        <f t="shared" ref="AO78:AO82" si="66">AM78-AN78</f>
        <v>1000000</v>
      </c>
      <c r="AP78" s="3">
        <f t="shared" ref="AP78:AP82" si="67">$O$4</f>
        <v>1000000</v>
      </c>
      <c r="AQ78" s="3">
        <f t="shared" ref="AQ78:AQ82" si="68">AF78</f>
        <v>91.687216986644955</v>
      </c>
      <c r="AR78" s="3">
        <f t="shared" ref="AR78:AR82" si="69">MIN(AP78-AO78,AQ78)</f>
        <v>0</v>
      </c>
      <c r="AS78" s="3">
        <f t="shared" ref="AS78:AS82" si="70">AO78+AR78</f>
        <v>1000000</v>
      </c>
      <c r="AT78" s="3">
        <f t="shared" ref="AT78:AT82" si="71">AQ78-AR78</f>
        <v>91.687216986644955</v>
      </c>
    </row>
    <row r="79" spans="1:46" ht="14.5" x14ac:dyDescent="0.35">
      <c r="A79" s="1">
        <v>67</v>
      </c>
      <c r="B79" s="3">
        <v>65120.989692339288</v>
      </c>
      <c r="C79" s="3">
        <v>1053.6564484482974</v>
      </c>
      <c r="I79" s="14">
        <f t="shared" ref="I79:I82" si="72">$R$3/(1-$R$3*(A79-1))</f>
        <v>0.18421052631578957</v>
      </c>
      <c r="J79" s="50">
        <f t="shared" si="44"/>
        <v>5.6967176007945063E-2</v>
      </c>
      <c r="K79" s="16">
        <f t="shared" si="45"/>
        <v>4547.4463710120199</v>
      </c>
      <c r="L79" s="16">
        <f t="shared" si="46"/>
        <v>73.577600945970886</v>
      </c>
      <c r="N79" s="1">
        <v>67</v>
      </c>
      <c r="O79" s="3">
        <f t="shared" ref="O79:O82" si="73">AL78</f>
        <v>9249.9503934054082</v>
      </c>
      <c r="P79" s="3">
        <f t="shared" si="40"/>
        <v>3.8541459972522536</v>
      </c>
      <c r="Q79" s="3">
        <f t="shared" si="47"/>
        <v>3.8541459972522536</v>
      </c>
      <c r="R79" s="3">
        <v>0</v>
      </c>
      <c r="S79" s="3">
        <f t="shared" si="48"/>
        <v>69.723454948718626</v>
      </c>
      <c r="T79" s="3">
        <f t="shared" si="41"/>
        <v>23.124875983513522</v>
      </c>
      <c r="U79" s="3">
        <f t="shared" si="49"/>
        <v>69.723454948718626</v>
      </c>
      <c r="V79" s="3">
        <f t="shared" si="50"/>
        <v>23.124875983513522</v>
      </c>
      <c r="W79" s="3">
        <f t="shared" si="51"/>
        <v>0</v>
      </c>
      <c r="X79" s="3">
        <f t="shared" si="52"/>
        <v>46.598578965205107</v>
      </c>
      <c r="Y79" s="3">
        <f t="shared" si="53"/>
        <v>4547.4463710120199</v>
      </c>
      <c r="Z79" s="3">
        <f t="shared" si="54"/>
        <v>866.25074096720357</v>
      </c>
      <c r="AA79" s="3">
        <f t="shared" si="55"/>
        <v>5413.6971119792233</v>
      </c>
      <c r="AB79" s="3">
        <f t="shared" si="56"/>
        <v>3836.2532814261849</v>
      </c>
      <c r="AC79" s="3">
        <f t="shared" si="57"/>
        <v>0</v>
      </c>
      <c r="AD79" s="3">
        <f t="shared" si="58"/>
        <v>46.598578965205107</v>
      </c>
      <c r="AE79" s="3">
        <f t="shared" si="59"/>
        <v>0</v>
      </c>
      <c r="AF79" s="3">
        <f t="shared" si="60"/>
        <v>46.598578965205107</v>
      </c>
      <c r="AG79" s="3">
        <f t="shared" si="61"/>
        <v>0</v>
      </c>
      <c r="AH79" s="3">
        <f t="shared" si="62"/>
        <v>1000000</v>
      </c>
      <c r="AI79" s="3">
        <f t="shared" si="63"/>
        <v>0</v>
      </c>
      <c r="AJ79" s="3">
        <f t="shared" si="42"/>
        <v>0</v>
      </c>
      <c r="AK79" s="3">
        <f t="shared" si="43"/>
        <v>0</v>
      </c>
      <c r="AL79" s="3">
        <f t="shared" si="64"/>
        <v>3836.2532814261849</v>
      </c>
      <c r="AM79" s="3">
        <f t="shared" ref="AM79:AM82" si="74">AS78</f>
        <v>1000000</v>
      </c>
      <c r="AN79" s="3">
        <f t="shared" si="65"/>
        <v>0</v>
      </c>
      <c r="AO79" s="3">
        <f t="shared" si="66"/>
        <v>1000000</v>
      </c>
      <c r="AP79" s="3">
        <f t="shared" si="67"/>
        <v>1000000</v>
      </c>
      <c r="AQ79" s="3">
        <f t="shared" si="68"/>
        <v>46.598578965205107</v>
      </c>
      <c r="AR79" s="3">
        <f t="shared" si="69"/>
        <v>0</v>
      </c>
      <c r="AS79" s="3">
        <f t="shared" si="70"/>
        <v>1000000</v>
      </c>
      <c r="AT79" s="3">
        <f t="shared" si="71"/>
        <v>46.598578965205107</v>
      </c>
    </row>
    <row r="80" spans="1:46" ht="14.5" x14ac:dyDescent="0.35">
      <c r="A80" s="1">
        <v>68</v>
      </c>
      <c r="B80" s="3">
        <v>42627.816141845105</v>
      </c>
      <c r="C80" s="3">
        <v>535.11552186743381</v>
      </c>
      <c r="I80" s="14">
        <f t="shared" si="72"/>
        <v>0.22580645161290344</v>
      </c>
      <c r="J80" s="50">
        <f t="shared" si="44"/>
        <v>4.4103620135183264E-2</v>
      </c>
      <c r="K80" s="16">
        <f t="shared" si="45"/>
        <v>2428.3863049868119</v>
      </c>
      <c r="L80" s="16">
        <f t="shared" si="46"/>
        <v>30.484020118805478</v>
      </c>
      <c r="N80" s="1">
        <v>68</v>
      </c>
      <c r="O80" s="3">
        <f t="shared" si="73"/>
        <v>3836.2532814261849</v>
      </c>
      <c r="P80" s="3">
        <f t="shared" si="40"/>
        <v>1.5984388672609102</v>
      </c>
      <c r="Q80" s="3">
        <f t="shared" si="47"/>
        <v>1.5984388672609102</v>
      </c>
      <c r="R80" s="3">
        <v>0</v>
      </c>
      <c r="S80" s="3">
        <f t="shared" si="48"/>
        <v>28.885581251544568</v>
      </c>
      <c r="T80" s="3">
        <f t="shared" si="41"/>
        <v>9.5906332035654618</v>
      </c>
      <c r="U80" s="3">
        <f t="shared" si="49"/>
        <v>28.885581251544568</v>
      </c>
      <c r="V80" s="3">
        <f t="shared" si="50"/>
        <v>9.5906332035654618</v>
      </c>
      <c r="W80" s="3">
        <f>T80-V80</f>
        <v>0</v>
      </c>
      <c r="X80" s="3">
        <f t="shared" si="52"/>
        <v>19.294948047979105</v>
      </c>
      <c r="Y80" s="3">
        <f t="shared" si="53"/>
        <v>2428.3863049868119</v>
      </c>
      <c r="Z80" s="3">
        <f t="shared" si="54"/>
        <v>317.90544629276195</v>
      </c>
      <c r="AA80" s="3">
        <f t="shared" si="55"/>
        <v>2746.2917512795739</v>
      </c>
      <c r="AB80" s="3">
        <f t="shared" si="56"/>
        <v>1089.961530146611</v>
      </c>
      <c r="AC80" s="3">
        <f t="shared" si="57"/>
        <v>0</v>
      </c>
      <c r="AD80" s="3">
        <f t="shared" si="58"/>
        <v>19.294948047979105</v>
      </c>
      <c r="AE80" s="3">
        <f t="shared" si="59"/>
        <v>0</v>
      </c>
      <c r="AF80" s="3">
        <f t="shared" si="60"/>
        <v>19.294948047979105</v>
      </c>
      <c r="AG80" s="3">
        <f t="shared" si="61"/>
        <v>0</v>
      </c>
      <c r="AH80" s="3">
        <f t="shared" si="62"/>
        <v>1000000</v>
      </c>
      <c r="AI80" s="3">
        <f t="shared" si="63"/>
        <v>0</v>
      </c>
      <c r="AJ80" s="3">
        <f t="shared" si="42"/>
        <v>0</v>
      </c>
      <c r="AK80" s="3">
        <f t="shared" si="43"/>
        <v>0</v>
      </c>
      <c r="AL80" s="3">
        <f t="shared" si="64"/>
        <v>1089.961530146611</v>
      </c>
      <c r="AM80" s="3">
        <f t="shared" si="74"/>
        <v>1000000</v>
      </c>
      <c r="AN80" s="3">
        <f t="shared" si="65"/>
        <v>0</v>
      </c>
      <c r="AO80" s="3">
        <f t="shared" si="66"/>
        <v>1000000</v>
      </c>
      <c r="AP80" s="3">
        <f t="shared" si="67"/>
        <v>1000000</v>
      </c>
      <c r="AQ80" s="3">
        <f t="shared" si="68"/>
        <v>19.294948047979105</v>
      </c>
      <c r="AR80" s="3">
        <f t="shared" si="69"/>
        <v>0</v>
      </c>
      <c r="AS80" s="3">
        <f t="shared" si="70"/>
        <v>1000000</v>
      </c>
      <c r="AT80" s="3">
        <f t="shared" si="71"/>
        <v>19.294948047979105</v>
      </c>
    </row>
    <row r="81" spans="1:46" ht="14.5" x14ac:dyDescent="0.35">
      <c r="A81" s="1">
        <v>69</v>
      </c>
      <c r="B81" s="3">
        <v>20412.397480160595</v>
      </c>
      <c r="C81" s="3">
        <v>197.76989703804941</v>
      </c>
      <c r="I81" s="14">
        <f t="shared" si="72"/>
        <v>0.29166666666666707</v>
      </c>
      <c r="J81" s="50">
        <f t="shared" si="44"/>
        <v>3.1240064262421461E-2</v>
      </c>
      <c r="K81" s="16">
        <f t="shared" si="45"/>
        <v>900.26062451337486</v>
      </c>
      <c r="L81" s="16">
        <f t="shared" si="46"/>
        <v>8.7223684131404369</v>
      </c>
      <c r="N81" s="1">
        <v>69</v>
      </c>
      <c r="O81" s="3">
        <f t="shared" si="73"/>
        <v>1089.961530146611</v>
      </c>
      <c r="P81" s="3">
        <f t="shared" si="40"/>
        <v>0.45415063756108798</v>
      </c>
      <c r="Q81" s="3">
        <f t="shared" si="47"/>
        <v>0.45415063756108798</v>
      </c>
      <c r="R81" s="3">
        <v>0</v>
      </c>
      <c r="S81" s="3">
        <f t="shared" si="48"/>
        <v>8.2682177755793482</v>
      </c>
      <c r="T81" s="3">
        <f t="shared" si="41"/>
        <v>2.7249038253665279</v>
      </c>
      <c r="U81" s="3">
        <f t="shared" si="49"/>
        <v>8.2682177755793482</v>
      </c>
      <c r="V81" s="3">
        <f t="shared" si="50"/>
        <v>2.7249038253665279</v>
      </c>
      <c r="W81" s="3">
        <f t="shared" si="51"/>
        <v>0</v>
      </c>
      <c r="X81" s="3">
        <f t="shared" si="52"/>
        <v>5.5433139502128199</v>
      </c>
      <c r="Y81" s="3">
        <f t="shared" si="53"/>
        <v>900.26062451337486</v>
      </c>
      <c r="Z81" s="3">
        <f t="shared" si="54"/>
        <v>55.32943080969396</v>
      </c>
      <c r="AA81" s="3">
        <f t="shared" si="55"/>
        <v>955.59005532306878</v>
      </c>
      <c r="AB81" s="3">
        <f t="shared" si="56"/>
        <v>134.37147482354226</v>
      </c>
      <c r="AC81" s="3">
        <f t="shared" si="57"/>
        <v>0</v>
      </c>
      <c r="AD81" s="3">
        <f t="shared" si="58"/>
        <v>5.5433139502128199</v>
      </c>
      <c r="AE81" s="3">
        <f t="shared" si="59"/>
        <v>0</v>
      </c>
      <c r="AF81" s="3">
        <f t="shared" si="60"/>
        <v>5.5433139502128199</v>
      </c>
      <c r="AG81" s="3">
        <f t="shared" si="61"/>
        <v>0</v>
      </c>
      <c r="AH81" s="3">
        <f t="shared" si="62"/>
        <v>1000000</v>
      </c>
      <c r="AI81" s="3">
        <f t="shared" si="63"/>
        <v>0</v>
      </c>
      <c r="AJ81" s="3">
        <f t="shared" si="42"/>
        <v>0</v>
      </c>
      <c r="AK81" s="3">
        <f t="shared" si="43"/>
        <v>0</v>
      </c>
      <c r="AL81" s="3">
        <f t="shared" si="64"/>
        <v>134.37147482354226</v>
      </c>
      <c r="AM81" s="3">
        <f t="shared" si="74"/>
        <v>1000000</v>
      </c>
      <c r="AN81" s="3">
        <f t="shared" si="65"/>
        <v>0</v>
      </c>
      <c r="AO81" s="3">
        <f t="shared" si="66"/>
        <v>1000000</v>
      </c>
      <c r="AP81" s="3">
        <f t="shared" si="67"/>
        <v>1000000</v>
      </c>
      <c r="AQ81" s="3">
        <f t="shared" si="68"/>
        <v>5.5433139502128199</v>
      </c>
      <c r="AR81" s="3">
        <f t="shared" si="69"/>
        <v>0</v>
      </c>
      <c r="AS81" s="3">
        <f t="shared" si="70"/>
        <v>1000000</v>
      </c>
      <c r="AT81" s="3">
        <f t="shared" si="71"/>
        <v>5.5433139502128199</v>
      </c>
    </row>
    <row r="82" spans="1:46" ht="14.5" x14ac:dyDescent="0.35">
      <c r="A82" s="1">
        <v>70</v>
      </c>
      <c r="B82" s="3">
        <v>4301.3447515812213</v>
      </c>
      <c r="C82" s="3">
        <v>35.337195028328551</v>
      </c>
      <c r="I82" s="14">
        <f t="shared" si="72"/>
        <v>0.41176470588235259</v>
      </c>
      <c r="J82" s="50">
        <f t="shared" si="44"/>
        <v>1.8376508389659693E-2</v>
      </c>
      <c r="K82" s="16">
        <f t="shared" si="45"/>
        <v>134.37428645422662</v>
      </c>
      <c r="L82" s="16">
        <f t="shared" si="46"/>
        <v>1.1039362435387041</v>
      </c>
      <c r="N82" s="1">
        <v>70</v>
      </c>
      <c r="O82" s="3">
        <f t="shared" si="73"/>
        <v>134.37147482354226</v>
      </c>
      <c r="P82" s="3">
        <f t="shared" si="40"/>
        <v>5.5988114509809277E-2</v>
      </c>
      <c r="Q82" s="3">
        <f t="shared" si="47"/>
        <v>5.5988114509809277E-2</v>
      </c>
      <c r="R82" s="3">
        <v>0</v>
      </c>
      <c r="S82" s="3">
        <f t="shared" si="48"/>
        <v>1.0479481290288948</v>
      </c>
      <c r="T82" s="3">
        <f t="shared" si="41"/>
        <v>0.33592868705885565</v>
      </c>
      <c r="U82" s="3">
        <f t="shared" si="49"/>
        <v>1.0479481290288948</v>
      </c>
      <c r="V82" s="3">
        <f t="shared" si="50"/>
        <v>0.33592868705885565</v>
      </c>
      <c r="W82" s="3">
        <f t="shared" si="51"/>
        <v>0</v>
      </c>
      <c r="X82" s="3">
        <f t="shared" si="52"/>
        <v>0.71201944197003919</v>
      </c>
      <c r="Y82" s="3">
        <f t="shared" si="53"/>
        <v>134.37428645422662</v>
      </c>
      <c r="Z82" s="3">
        <f t="shared" si="54"/>
        <v>0</v>
      </c>
      <c r="AA82" s="3">
        <f t="shared" si="55"/>
        <v>134.37428645422662</v>
      </c>
      <c r="AB82" s="3">
        <f t="shared" si="56"/>
        <v>0</v>
      </c>
      <c r="AC82" s="3">
        <f t="shared" si="57"/>
        <v>0</v>
      </c>
      <c r="AD82" s="3">
        <f t="shared" si="58"/>
        <v>0.71201944197003919</v>
      </c>
      <c r="AE82" s="3">
        <f t="shared" si="59"/>
        <v>0</v>
      </c>
      <c r="AF82" s="3">
        <f t="shared" si="60"/>
        <v>0.71201944197003919</v>
      </c>
      <c r="AG82" s="3">
        <f t="shared" si="61"/>
        <v>0</v>
      </c>
      <c r="AH82" s="3">
        <f t="shared" si="62"/>
        <v>1000000</v>
      </c>
      <c r="AI82" s="3">
        <f t="shared" si="63"/>
        <v>0</v>
      </c>
      <c r="AJ82" s="3">
        <f t="shared" si="42"/>
        <v>0</v>
      </c>
      <c r="AK82" s="3">
        <f t="shared" si="43"/>
        <v>0</v>
      </c>
      <c r="AL82" s="3">
        <f t="shared" si="64"/>
        <v>0</v>
      </c>
      <c r="AM82" s="3">
        <f t="shared" si="74"/>
        <v>1000000</v>
      </c>
      <c r="AN82" s="3">
        <f t="shared" si="65"/>
        <v>0</v>
      </c>
      <c r="AO82" s="3">
        <f t="shared" si="66"/>
        <v>1000000</v>
      </c>
      <c r="AP82" s="3">
        <f t="shared" si="67"/>
        <v>1000000</v>
      </c>
      <c r="AQ82" s="3">
        <f t="shared" si="68"/>
        <v>0.71201944197003919</v>
      </c>
      <c r="AR82" s="3">
        <f t="shared" si="69"/>
        <v>0</v>
      </c>
      <c r="AS82" s="3">
        <f t="shared" si="70"/>
        <v>1000000</v>
      </c>
      <c r="AT82" s="3">
        <f t="shared" si="71"/>
        <v>0.71201944197003919</v>
      </c>
    </row>
  </sheetData>
  <mergeCells count="9">
    <mergeCell ref="B10:C10"/>
    <mergeCell ref="AM10:AT10"/>
    <mergeCell ref="P10:S10"/>
    <mergeCell ref="N2:O2"/>
    <mergeCell ref="T10:AB10"/>
    <mergeCell ref="Q2:R2"/>
    <mergeCell ref="E10:G10"/>
    <mergeCell ref="E2:G2"/>
    <mergeCell ref="A2:B2"/>
  </mergeCells>
  <conditionalFormatting sqref="B6:B8">
    <cfRule type="cellIs" dxfId="3" priority="1" operator="greaterThan">
      <formula>0</formula>
    </cfRule>
    <cfRule type="cellIs" dxfId="2" priority="2" operator="equal">
      <formula>0</formula>
    </cfRule>
    <cfRule type="cellIs" dxfId="1" priority="3" operator="equal">
      <formula>" -   "</formula>
    </cfRule>
    <cfRule type="cellIs" dxfId="0" priority="4" operator="greaterThan">
      <formula>" -   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8B8441BD648F4F9752B36F13699764" ma:contentTypeVersion="11" ma:contentTypeDescription="Create a new document." ma:contentTypeScope="" ma:versionID="07d8dc451276da18f573fc8037d25bb4">
  <xsd:schema xmlns:xsd="http://www.w3.org/2001/XMLSchema" xmlns:xs="http://www.w3.org/2001/XMLSchema" xmlns:p="http://schemas.microsoft.com/office/2006/metadata/properties" xmlns:ns3="77973c8b-7199-43c9-ab5e-9af0f37c3857" xmlns:ns4="05aec6d0-f431-4249-a1af-dc8a27f6a4c6" targetNamespace="http://schemas.microsoft.com/office/2006/metadata/properties" ma:root="true" ma:fieldsID="3cb24a1b90f63f14676926ae39b62595" ns3:_="" ns4:_="">
    <xsd:import namespace="77973c8b-7199-43c9-ab5e-9af0f37c3857"/>
    <xsd:import namespace="05aec6d0-f431-4249-a1af-dc8a27f6a4c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973c8b-7199-43c9-ab5e-9af0f37c38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ec6d0-f431-4249-a1af-dc8a27f6a4c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7973c8b-7199-43c9-ab5e-9af0f37c3857" xsi:nil="true"/>
  </documentManagement>
</p:properties>
</file>

<file path=customXml/itemProps1.xml><?xml version="1.0" encoding="utf-8"?>
<ds:datastoreItem xmlns:ds="http://schemas.openxmlformats.org/officeDocument/2006/customXml" ds:itemID="{E92F672F-C841-4374-86EB-43BC195FA9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973c8b-7199-43c9-ab5e-9af0f37c3857"/>
    <ds:schemaRef ds:uri="05aec6d0-f431-4249-a1af-dc8a27f6a4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2026743-7230-479E-9B50-3A89FB9271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71E021-6675-4020-8D76-1FCF1BA911D6}">
  <ds:schemaRefs>
    <ds:schemaRef ds:uri="http://schemas.openxmlformats.org/package/2006/metadata/core-properties"/>
    <ds:schemaRef ds:uri="http://schemas.microsoft.com/office/2006/documentManagement/types"/>
    <ds:schemaRef ds:uri="05aec6d0-f431-4249-a1af-dc8a27f6a4c6"/>
    <ds:schemaRef ds:uri="77973c8b-7199-43c9-ab5e-9af0f37c3857"/>
    <ds:schemaRef ds:uri="http://purl.org/dc/terms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Waterfall</vt:lpstr>
      <vt:lpstr>ABSRate</vt:lpstr>
      <vt:lpstr>Coupon</vt:lpstr>
      <vt:lpstr>ServicingFee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kwilkin7</dc:creator>
  <cp:lastModifiedBy>Joseph Paolo1</cp:lastModifiedBy>
  <dcterms:created xsi:type="dcterms:W3CDTF">2003-10-28T23:13:37Z</dcterms:created>
  <dcterms:modified xsi:type="dcterms:W3CDTF">2025-11-20T16:40:02Z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0x010100EE8B8441BD648F4F9752B36F13699764</vt:lpwstr>
  </property>
</Properties>
</file>